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3040" yWindow="1092" windowWidth="21600" windowHeight="11388" tabRatio="600" firstSheet="54" activeTab="62" autoFilterDateGrouping="1"/>
  </bookViews>
  <sheets>
    <sheet xmlns:r="http://schemas.openxmlformats.org/officeDocument/2006/relationships" name="기본양식" sheetId="1" state="visible" r:id="rId1"/>
    <sheet xmlns:r="http://schemas.openxmlformats.org/officeDocument/2006/relationships" name="Amp1_Raw_data" sheetId="2" state="visible" r:id="rId2"/>
    <sheet xmlns:r="http://schemas.openxmlformats.org/officeDocument/2006/relationships" name="Amp2_Raw_data" sheetId="3" state="visible" r:id="rId3"/>
    <sheet xmlns:r="http://schemas.openxmlformats.org/officeDocument/2006/relationships" name="2021_2" sheetId="4" state="visible" r:id="rId4"/>
    <sheet xmlns:r="http://schemas.openxmlformats.org/officeDocument/2006/relationships" name="2021_3" sheetId="5" state="visible" r:id="rId5"/>
    <sheet xmlns:r="http://schemas.openxmlformats.org/officeDocument/2006/relationships" name="2021_4" sheetId="6" state="visible" r:id="rId6"/>
    <sheet xmlns:r="http://schemas.openxmlformats.org/officeDocument/2006/relationships" name="2021_5" sheetId="7" state="visible" r:id="rId7"/>
    <sheet xmlns:r="http://schemas.openxmlformats.org/officeDocument/2006/relationships" name="2021_6" sheetId="8" state="visible" r:id="rId8"/>
    <sheet xmlns:r="http://schemas.openxmlformats.org/officeDocument/2006/relationships" name="2021_7" sheetId="9" state="visible" r:id="rId9"/>
    <sheet xmlns:r="http://schemas.openxmlformats.org/officeDocument/2006/relationships" name="2021_8" sheetId="10" state="visible" r:id="rId10"/>
    <sheet xmlns:r="http://schemas.openxmlformats.org/officeDocument/2006/relationships" name="2021_9" sheetId="11" state="visible" r:id="rId11"/>
    <sheet xmlns:r="http://schemas.openxmlformats.org/officeDocument/2006/relationships" name="2021_10" sheetId="12" state="visible" r:id="rId12"/>
    <sheet xmlns:r="http://schemas.openxmlformats.org/officeDocument/2006/relationships" name="2021_11" sheetId="13" state="visible" r:id="rId13"/>
    <sheet xmlns:r="http://schemas.openxmlformats.org/officeDocument/2006/relationships" name="2021_12" sheetId="14" state="visible" r:id="rId14"/>
    <sheet xmlns:r="http://schemas.openxmlformats.org/officeDocument/2006/relationships" name="2022_01" sheetId="15" state="visible" r:id="rId15"/>
    <sheet xmlns:r="http://schemas.openxmlformats.org/officeDocument/2006/relationships" name="2022_02" sheetId="16" state="visible" r:id="rId16"/>
    <sheet xmlns:r="http://schemas.openxmlformats.org/officeDocument/2006/relationships" name="2022_03" sheetId="17" state="visible" r:id="rId17"/>
    <sheet xmlns:r="http://schemas.openxmlformats.org/officeDocument/2006/relationships" name="2022_04" sheetId="18" state="visible" r:id="rId18"/>
    <sheet xmlns:r="http://schemas.openxmlformats.org/officeDocument/2006/relationships" name="2022_05" sheetId="19" state="visible" r:id="rId19"/>
    <sheet xmlns:r="http://schemas.openxmlformats.org/officeDocument/2006/relationships" name="2022_06" sheetId="20" state="visible" r:id="rId20"/>
    <sheet xmlns:r="http://schemas.openxmlformats.org/officeDocument/2006/relationships" name="2022_07" sheetId="21" state="visible" r:id="rId21"/>
    <sheet xmlns:r="http://schemas.openxmlformats.org/officeDocument/2006/relationships" name="2022_08" sheetId="22" state="visible" r:id="rId22"/>
    <sheet xmlns:r="http://schemas.openxmlformats.org/officeDocument/2006/relationships" name="2022_09" sheetId="23" state="visible" r:id="rId23"/>
    <sheet xmlns:r="http://schemas.openxmlformats.org/officeDocument/2006/relationships" name="2022_10" sheetId="24" state="visible" r:id="rId24"/>
    <sheet xmlns:r="http://schemas.openxmlformats.org/officeDocument/2006/relationships" name="2022_11" sheetId="25" state="visible" r:id="rId25"/>
    <sheet xmlns:r="http://schemas.openxmlformats.org/officeDocument/2006/relationships" name="2022_12" sheetId="26" state="visible" r:id="rId26"/>
    <sheet xmlns:r="http://schemas.openxmlformats.org/officeDocument/2006/relationships" name="2023_01" sheetId="27" state="visible" r:id="rId27"/>
    <sheet xmlns:r="http://schemas.openxmlformats.org/officeDocument/2006/relationships" name="2023_02" sheetId="28" state="visible" r:id="rId28"/>
    <sheet xmlns:r="http://schemas.openxmlformats.org/officeDocument/2006/relationships" name="2023_03" sheetId="29" state="visible" r:id="rId29"/>
    <sheet xmlns:r="http://schemas.openxmlformats.org/officeDocument/2006/relationships" name="2023_04" sheetId="30" state="visible" r:id="rId30"/>
    <sheet xmlns:r="http://schemas.openxmlformats.org/officeDocument/2006/relationships" name="2023_05" sheetId="31" state="visible" r:id="rId31"/>
    <sheet xmlns:r="http://schemas.openxmlformats.org/officeDocument/2006/relationships" name="2023_06" sheetId="32" state="visible" r:id="rId32"/>
    <sheet xmlns:r="http://schemas.openxmlformats.org/officeDocument/2006/relationships" name="2023_07" sheetId="33" state="visible" r:id="rId33"/>
    <sheet xmlns:r="http://schemas.openxmlformats.org/officeDocument/2006/relationships" name="2023_08" sheetId="34" state="visible" r:id="rId34"/>
    <sheet xmlns:r="http://schemas.openxmlformats.org/officeDocument/2006/relationships" name="2023_09" sheetId="35" state="visible" r:id="rId35"/>
    <sheet xmlns:r="http://schemas.openxmlformats.org/officeDocument/2006/relationships" name="2023_10" sheetId="36" state="visible" r:id="rId36"/>
    <sheet xmlns:r="http://schemas.openxmlformats.org/officeDocument/2006/relationships" name="2023_12" sheetId="37" state="visible" r:id="rId37"/>
    <sheet xmlns:r="http://schemas.openxmlformats.org/officeDocument/2006/relationships" name="2024_01" sheetId="38" state="visible" r:id="rId38"/>
    <sheet xmlns:r="http://schemas.openxmlformats.org/officeDocument/2006/relationships" name="2024_02" sheetId="39" state="visible" r:id="rId39"/>
    <sheet xmlns:r="http://schemas.openxmlformats.org/officeDocument/2006/relationships" name="2024_04" sheetId="40" state="visible" r:id="rId40"/>
    <sheet xmlns:r="http://schemas.openxmlformats.org/officeDocument/2006/relationships" name="2024_05" sheetId="41" state="visible" r:id="rId41"/>
    <sheet xmlns:r="http://schemas.openxmlformats.org/officeDocument/2006/relationships" name="2024_06" sheetId="42" state="visible" r:id="rId42"/>
    <sheet xmlns:r="http://schemas.openxmlformats.org/officeDocument/2006/relationships" name="2024_07" sheetId="43" state="visible" r:id="rId43"/>
    <sheet xmlns:r="http://schemas.openxmlformats.org/officeDocument/2006/relationships" name="2024_08" sheetId="44" state="visible" r:id="rId44"/>
    <sheet xmlns:r="http://schemas.openxmlformats.org/officeDocument/2006/relationships" name="2024_09" sheetId="45" state="visible" r:id="rId45"/>
    <sheet xmlns:r="http://schemas.openxmlformats.org/officeDocument/2006/relationships" name="2024_10" sheetId="46" state="visible" r:id="rId46"/>
    <sheet xmlns:r="http://schemas.openxmlformats.org/officeDocument/2006/relationships" name="2024_11" sheetId="47" state="visible" r:id="rId47"/>
    <sheet xmlns:r="http://schemas.openxmlformats.org/officeDocument/2006/relationships" name="2024_12" sheetId="48" state="visible" r:id="rId48"/>
    <sheet xmlns:r="http://schemas.openxmlformats.org/officeDocument/2006/relationships" name="2025_01" sheetId="49" state="visible" r:id="rId49"/>
    <sheet xmlns:r="http://schemas.openxmlformats.org/officeDocument/2006/relationships" name="2025_02" sheetId="50" state="visible" r:id="rId50"/>
    <sheet xmlns:r="http://schemas.openxmlformats.org/officeDocument/2006/relationships" name="2025_03" sheetId="51" state="visible" r:id="rId51"/>
    <sheet xmlns:r="http://schemas.openxmlformats.org/officeDocument/2006/relationships" name="2025_04" sheetId="52" state="visible" r:id="rId52"/>
    <sheet xmlns:r="http://schemas.openxmlformats.org/officeDocument/2006/relationships" name="2025_05" sheetId="53" state="visible" r:id="rId53"/>
    <sheet xmlns:r="http://schemas.openxmlformats.org/officeDocument/2006/relationships" name="2025_06" sheetId="54" state="visible" r:id="rId54"/>
    <sheet xmlns:r="http://schemas.openxmlformats.org/officeDocument/2006/relationships" name="2025_07" sheetId="55" state="visible" r:id="rId55"/>
    <sheet xmlns:r="http://schemas.openxmlformats.org/officeDocument/2006/relationships" name="2025_08" sheetId="56" state="visible" r:id="rId56"/>
    <sheet xmlns:r="http://schemas.openxmlformats.org/officeDocument/2006/relationships" name="2025_09" sheetId="57" state="visible" r:id="rId57"/>
    <sheet xmlns:r="http://schemas.openxmlformats.org/officeDocument/2006/relationships" name="2025_10" sheetId="58" state="visible" r:id="rId58"/>
    <sheet xmlns:r="http://schemas.openxmlformats.org/officeDocument/2006/relationships" name="2025_11" sheetId="59" state="visible" r:id="rId59"/>
    <sheet xmlns:r="http://schemas.openxmlformats.org/officeDocument/2006/relationships" name="2025_12" sheetId="60" state="visible" r:id="rId60"/>
    <sheet xmlns:r="http://schemas.openxmlformats.org/officeDocument/2006/relationships" name="2026_01" sheetId="61" state="visible" r:id="rId61"/>
    <sheet xmlns:r="http://schemas.openxmlformats.org/officeDocument/2006/relationships" name="2026_02" sheetId="62" state="visible" r:id="rId62"/>
    <sheet xmlns:r="http://schemas.openxmlformats.org/officeDocument/2006/relationships" name="2026-03-23" sheetId="63" state="visible" r:id="rId63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yyyy&quot;년&quot;\ m&quot;월&quot;;@"/>
  </numFmts>
  <fonts count="10">
    <font>
      <name val="맑은 고딕"/>
      <color rgb="FF000000"/>
      <sz val="11"/>
    </font>
    <font>
      <name val="맑은 고딕"/>
      <charset val="129"/>
      <family val="3"/>
      <color rgb="FF000000"/>
      <sz val="12"/>
    </font>
    <font>
      <name val="맑은 고딕"/>
      <charset val="129"/>
      <family val="3"/>
      <b val="1"/>
      <color rgb="FF000000"/>
      <sz val="12"/>
      <u val="single"/>
    </font>
    <font>
      <name val="맑은 고딕"/>
      <charset val="129"/>
      <family val="3"/>
      <color rgb="FF000000"/>
      <sz val="15"/>
    </font>
    <font>
      <name val="맑은 고딕"/>
      <charset val="129"/>
      <family val="3"/>
      <color rgb="FF000000"/>
      <sz val="25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25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b val="1"/>
      <color rgb="FF000000"/>
      <sz val="12"/>
    </font>
    <font>
      <name val="돋움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rgb="FFFBE5D7"/>
        <bgColor indexed="64"/>
      </patternFill>
    </fill>
    <fill>
      <patternFill patternType="solid">
        <fgColor rgb="FFE2F0D9"/>
        <bgColor indexed="64"/>
      </patternFill>
    </fill>
  </fills>
  <borders count="5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15" applyAlignment="1" pivotButton="0" quotePrefix="0" xfId="0">
      <alignment horizontal="right" vertical="center"/>
    </xf>
    <xf numFmtId="0" fontId="1" fillId="0" borderId="16" applyAlignment="1" pivotButton="0" quotePrefix="0" xfId="0">
      <alignment horizontal="right" vertical="center"/>
    </xf>
    <xf numFmtId="0" fontId="1" fillId="0" borderId="19" applyAlignment="1" pivotButton="0" quotePrefix="0" xfId="0">
      <alignment horizontal="right" vertical="center"/>
    </xf>
    <xf numFmtId="0" fontId="1" fillId="0" borderId="17" applyAlignment="1" pivotButton="0" quotePrefix="0" xfId="0">
      <alignment horizontal="right" vertical="center"/>
    </xf>
    <xf numFmtId="0" fontId="1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5" applyAlignment="1" pivotButton="0" quotePrefix="0" xfId="0">
      <alignment horizontal="right" vertical="center"/>
    </xf>
    <xf numFmtId="0" fontId="8" fillId="0" borderId="16" applyAlignment="1" pivotButton="0" quotePrefix="0" xfId="0">
      <alignment horizontal="right" vertical="center"/>
    </xf>
    <xf numFmtId="0" fontId="8" fillId="0" borderId="19" applyAlignment="1" pivotButton="0" quotePrefix="0" xfId="0">
      <alignment horizontal="right" vertical="center"/>
    </xf>
    <xf numFmtId="0" fontId="8" fillId="0" borderId="17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6" applyAlignment="1" pivotButton="0" quotePrefix="0" xfId="0">
      <alignment horizontal="center" vertical="center"/>
    </xf>
    <xf numFmtId="164" fontId="5" fillId="2" borderId="0" applyAlignment="1" pivotButton="0" quotePrefix="0" xfId="0">
      <alignment vertical="center"/>
    </xf>
    <xf numFmtId="0" fontId="1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1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1" fillId="0" borderId="36" applyAlignment="1" pivotButton="0" quotePrefix="0" xfId="0">
      <alignment horizontal="center" vertical="center"/>
    </xf>
    <xf numFmtId="0" fontId="0" fillId="0" borderId="37" pivotButton="0" quotePrefix="0" xfId="0"/>
    <xf numFmtId="0" fontId="8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0" pivotButton="0" quotePrefix="0" xfId="0"/>
    <xf numFmtId="0" fontId="1" fillId="0" borderId="40" applyAlignment="1" pivotButton="0" quotePrefix="0" xfId="0">
      <alignment horizontal="center" vertical="center"/>
    </xf>
    <xf numFmtId="0" fontId="0" fillId="0" borderId="41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39" pivotButton="0" quotePrefix="0" xfId="0"/>
    <xf numFmtId="0" fontId="8" fillId="2" borderId="27" applyAlignment="1" pivotButton="0" quotePrefix="0" xfId="0">
      <alignment horizontal="center" vertical="center"/>
    </xf>
    <xf numFmtId="0" fontId="0" fillId="0" borderId="28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26" pivotButton="0" quotePrefix="0" xfId="0"/>
    <xf numFmtId="0" fontId="8" fillId="0" borderId="26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164" fontId="5" fillId="2" borderId="0" applyAlignment="1" pivotButton="0" quotePrefix="0" xfId="0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Amp1_Raw_data!$B$3</f>
              <strCache>
                <ptCount val="1"/>
                <pt idx="0">
                  <v>AMP Temp [°C]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Amp1_Raw_data!$C$3:$AA$3</f>
              <numCache>
                <formatCode>General</formatCode>
                <ptCount val="25"/>
                <pt idx="0">
                  <v>32.1</v>
                </pt>
                <pt idx="1">
                  <v>38.8</v>
                </pt>
                <pt idx="2">
                  <v>37.4</v>
                </pt>
                <pt idx="3">
                  <v>41.5</v>
                </pt>
                <pt idx="4">
                  <v>36.8</v>
                </pt>
                <pt idx="5">
                  <v>47</v>
                </pt>
                <pt idx="6">
                  <v>38.3</v>
                </pt>
                <pt idx="7">
                  <v>36.7</v>
                </pt>
                <pt idx="8">
                  <v>34.8</v>
                </pt>
                <pt idx="9">
                  <v>33</v>
                </pt>
                <pt idx="10">
                  <v>39.2</v>
                </pt>
                <pt idx="11">
                  <v>31</v>
                </pt>
                <pt idx="12">
                  <v>25.2</v>
                </pt>
                <pt idx="13">
                  <v>36.5</v>
                </pt>
                <pt idx="14">
                  <v>41.1</v>
                </pt>
                <pt idx="15">
                  <v>43.6</v>
                </pt>
                <pt idx="16">
                  <v>41</v>
                </pt>
                <pt idx="17">
                  <v>43.5</v>
                </pt>
                <pt idx="18">
                  <v>43.3</v>
                </pt>
                <pt idx="19">
                  <v>45</v>
                </pt>
                <pt idx="20">
                  <v>35.9</v>
                </pt>
                <pt idx="21">
                  <v>30.6</v>
                </pt>
                <pt idx="22">
                  <v>29.7</v>
                </pt>
                <pt idx="23">
                  <v>26.1</v>
                </pt>
                <pt idx="24">
                  <v>31.6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Amp1_Raw_data!$B$4</f>
              <strCache>
                <ptCount val="1"/>
                <pt idx="0">
                  <v>V Aux in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Amp1_Raw_data!$C$4:$AA$4</f>
              <numCache>
                <formatCode>General</formatCode>
                <ptCount val="25"/>
                <pt idx="0">
                  <v>15.4</v>
                </pt>
                <pt idx="1">
                  <v>15.5</v>
                </pt>
                <pt idx="2">
                  <v>15.4</v>
                </pt>
                <pt idx="3">
                  <v>15.5</v>
                </pt>
                <pt idx="4">
                  <v>15.4</v>
                </pt>
                <pt idx="5">
                  <v>15.5</v>
                </pt>
                <pt idx="6">
                  <v>15.4</v>
                </pt>
                <pt idx="7">
                  <v>15.4</v>
                </pt>
                <pt idx="8">
                  <v>15.4</v>
                </pt>
                <pt idx="9">
                  <v>15.4</v>
                </pt>
                <pt idx="10">
                  <v>15.5</v>
                </pt>
                <pt idx="11">
                  <v>15.4</v>
                </pt>
                <pt idx="12">
                  <v>15.4</v>
                </pt>
                <pt idx="13">
                  <v>15.5</v>
                </pt>
                <pt idx="14">
                  <v>15.5</v>
                </pt>
                <pt idx="15">
                  <v>15.5</v>
                </pt>
                <pt idx="16">
                  <v>15.5</v>
                </pt>
                <pt idx="17">
                  <v>15.5</v>
                </pt>
                <pt idx="18">
                  <v>15.5</v>
                </pt>
                <pt idx="19">
                  <v>15.5</v>
                </pt>
                <pt idx="20">
                  <v>15.4</v>
                </pt>
                <pt idx="21">
                  <v>15.4</v>
                </pt>
                <pt idx="22">
                  <v>15.4</v>
                </pt>
                <pt idx="23">
                  <v>15.4</v>
                </pt>
                <pt idx="24">
                  <v>15.4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Amp1_Raw_data!$B$5</f>
              <strCache>
                <ptCount val="1"/>
                <pt idx="0">
                  <v>V+ Mon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Amp1_Raw_data!$C$5:$AA$5</f>
              <numCache>
                <formatCode>General</formatCode>
                <ptCount val="25"/>
                <pt idx="0">
                  <v>43.5</v>
                </pt>
                <pt idx="1">
                  <v>43.4</v>
                </pt>
                <pt idx="2">
                  <v>43.5</v>
                </pt>
                <pt idx="3">
                  <v>43.4</v>
                </pt>
                <pt idx="4">
                  <v>43.5</v>
                </pt>
                <pt idx="5">
                  <v>43.4</v>
                </pt>
                <pt idx="6">
                  <v>43.5</v>
                </pt>
                <pt idx="7">
                  <v>43.5</v>
                </pt>
                <pt idx="8">
                  <v>43.5</v>
                </pt>
                <pt idx="9">
                  <v>43.5</v>
                </pt>
                <pt idx="10">
                  <v>43.4</v>
                </pt>
                <pt idx="11">
                  <v>43.5</v>
                </pt>
                <pt idx="12">
                  <v>43.5</v>
                </pt>
                <pt idx="13">
                  <v>43.4</v>
                </pt>
                <pt idx="14">
                  <v>43.4</v>
                </pt>
                <pt idx="15">
                  <v>43.4</v>
                </pt>
                <pt idx="16">
                  <v>43.4</v>
                </pt>
                <pt idx="17">
                  <v>43.4</v>
                </pt>
                <pt idx="18">
                  <v>43.4</v>
                </pt>
                <pt idx="19">
                  <v>43.4</v>
                </pt>
                <pt idx="20">
                  <v>43.5</v>
                </pt>
                <pt idx="21">
                  <v>43.5</v>
                </pt>
                <pt idx="22">
                  <v>43.5</v>
                </pt>
                <pt idx="23">
                  <v>43.5</v>
                </pt>
                <pt idx="24">
                  <v>43.5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Amp1_Raw_data!$B$6</f>
              <strCache>
                <ptCount val="1"/>
                <pt idx="0">
                  <v>I DC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Amp1_Raw_data!$C$6:$AA$6</f>
              <numCache>
                <formatCode>General</formatCode>
                <ptCount val="25"/>
                <pt idx="0">
                  <v>85.5</v>
                </pt>
                <pt idx="1">
                  <v>85.40000000000001</v>
                </pt>
                <pt idx="2">
                  <v>85.40000000000001</v>
                </pt>
                <pt idx="3">
                  <v>85.8</v>
                </pt>
                <pt idx="4">
                  <v>85.59999999999999</v>
                </pt>
                <pt idx="5">
                  <v>86</v>
                </pt>
                <pt idx="6">
                  <v>85.7</v>
                </pt>
                <pt idx="7">
                  <v>85.59999999999999</v>
                </pt>
                <pt idx="8">
                  <v>85.5</v>
                </pt>
                <pt idx="9">
                  <v>85.3</v>
                </pt>
                <pt idx="10">
                  <v>85.59999999999999</v>
                </pt>
                <pt idx="11">
                  <v>85.40000000000001</v>
                </pt>
                <pt idx="12">
                  <v>85</v>
                </pt>
                <pt idx="13">
                  <v>85.59999999999999</v>
                </pt>
                <pt idx="14">
                  <v>85.59999999999999</v>
                </pt>
                <pt idx="15">
                  <v>85.7</v>
                </pt>
                <pt idx="16">
                  <v>85.7</v>
                </pt>
                <pt idx="17">
                  <v>85.8</v>
                </pt>
                <pt idx="18">
                  <v>85.7</v>
                </pt>
                <pt idx="19">
                  <v>85.7</v>
                </pt>
                <pt idx="20">
                  <v>85.40000000000001</v>
                </pt>
                <pt idx="21">
                  <v>85</v>
                </pt>
                <pt idx="22">
                  <v>85</v>
                </pt>
                <pt idx="23">
                  <v>84.8</v>
                </pt>
                <pt idx="24">
                  <v>85.09999999999999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Amp1_Raw_data!$B$7</f>
              <strCache>
                <ptCount val="1"/>
                <pt idx="0">
                  <v>I Pre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Amp1_Raw_data!$C$7:$AA$7</f>
              <numCache>
                <formatCode>General</formatCode>
                <ptCount val="25"/>
                <pt idx="0">
                  <v>1.59</v>
                </pt>
                <pt idx="1">
                  <v>1.61</v>
                </pt>
                <pt idx="2">
                  <v>1.6</v>
                </pt>
                <pt idx="3">
                  <v>1.62</v>
                </pt>
                <pt idx="4">
                  <v>1.6</v>
                </pt>
                <pt idx="5">
                  <v>1.64</v>
                </pt>
                <pt idx="6">
                  <v>1.61</v>
                </pt>
                <pt idx="7">
                  <v>1.6</v>
                </pt>
                <pt idx="8">
                  <v>1.59</v>
                </pt>
                <pt idx="9">
                  <v>1.59</v>
                </pt>
                <pt idx="10">
                  <v>1.61</v>
                </pt>
                <pt idx="11">
                  <v>1.58</v>
                </pt>
                <pt idx="12">
                  <v>1.56</v>
                </pt>
                <pt idx="13">
                  <v>1.6</v>
                </pt>
                <pt idx="14">
                  <v>1.62</v>
                </pt>
                <pt idx="15">
                  <v>1.63</v>
                </pt>
                <pt idx="16">
                  <v>1.62</v>
                </pt>
                <pt idx="17">
                  <v>1.63</v>
                </pt>
                <pt idx="18">
                  <v>1.63</v>
                </pt>
                <pt idx="19">
                  <v>1.63</v>
                </pt>
                <pt idx="20">
                  <v>1.6</v>
                </pt>
                <pt idx="21">
                  <v>1.58</v>
                </pt>
                <pt idx="22">
                  <v>1.58</v>
                </pt>
                <pt idx="23">
                  <v>1.57</v>
                </pt>
                <pt idx="24">
                  <v>1.59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Amp1_Raw_data!$B$8</f>
              <strCache>
                <ptCount val="1"/>
                <pt idx="0">
                  <v>V5V ACB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Amp1_Raw_data!$C$8:$AA$8</f>
              <numCache>
                <formatCode>General</formatCode>
                <ptCount val="25"/>
                <pt idx="0">
                  <v>5.21</v>
                </pt>
                <pt idx="1">
                  <v>5.2</v>
                </pt>
                <pt idx="2">
                  <v>5.21</v>
                </pt>
                <pt idx="3">
                  <v>5.2</v>
                </pt>
                <pt idx="4">
                  <v>5.21</v>
                </pt>
                <pt idx="5">
                  <v>5.2</v>
                </pt>
                <pt idx="6">
                  <v>5.21</v>
                </pt>
                <pt idx="7">
                  <v>5.21</v>
                </pt>
                <pt idx="8">
                  <v>5.21</v>
                </pt>
                <pt idx="9">
                  <v>5.21</v>
                </pt>
                <pt idx="10">
                  <v>5.2</v>
                </pt>
                <pt idx="11">
                  <v>5.22</v>
                </pt>
                <pt idx="12">
                  <v>5.22</v>
                </pt>
                <pt idx="13">
                  <v>5.21</v>
                </pt>
                <pt idx="14">
                  <v>5.2</v>
                </pt>
                <pt idx="15">
                  <v>5.2</v>
                </pt>
                <pt idx="16">
                  <v>5.2</v>
                </pt>
                <pt idx="17">
                  <v>5.2</v>
                </pt>
                <pt idx="18">
                  <v>5.2</v>
                </pt>
                <pt idx="19">
                  <v>5.2</v>
                </pt>
                <pt idx="20">
                  <v>5.21</v>
                </pt>
                <pt idx="21">
                  <v>5.21</v>
                </pt>
                <pt idx="22">
                  <v>5.21</v>
                </pt>
                <pt idx="23">
                  <v>5.21</v>
                </pt>
                <pt idx="24">
                  <v>5.21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Amp1_Raw_data!$B$9</f>
              <strCache>
                <ptCount val="1"/>
                <pt idx="0">
                  <v>V 3V5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Amp1_Raw_data!$C$9:$AA$9</f>
              <numCache>
                <formatCode>General</formatCode>
                <ptCount val="25"/>
                <pt idx="0">
                  <v>3.44</v>
                </pt>
                <pt idx="1">
                  <v>3.43</v>
                </pt>
                <pt idx="2">
                  <v>3.43</v>
                </pt>
                <pt idx="3">
                  <v>3.43</v>
                </pt>
                <pt idx="4">
                  <v>3.43</v>
                </pt>
                <pt idx="5">
                  <v>3.43</v>
                </pt>
                <pt idx="6">
                  <v>3.43</v>
                </pt>
                <pt idx="7">
                  <v>3.43</v>
                </pt>
                <pt idx="8">
                  <v>3.43</v>
                </pt>
                <pt idx="9">
                  <v>3.43</v>
                </pt>
                <pt idx="10">
                  <v>3.43</v>
                </pt>
                <pt idx="11">
                  <v>3.44</v>
                </pt>
                <pt idx="12">
                  <v>3.44</v>
                </pt>
                <pt idx="13">
                  <v>3.43</v>
                </pt>
                <pt idx="14">
                  <v>3.43</v>
                </pt>
                <pt idx="15">
                  <v>3.43</v>
                </pt>
                <pt idx="16">
                  <v>3.43</v>
                </pt>
                <pt idx="17">
                  <v>3.43</v>
                </pt>
                <pt idx="18">
                  <v>3.43</v>
                </pt>
                <pt idx="19">
                  <v>3.43</v>
                </pt>
                <pt idx="20">
                  <v>3.43</v>
                </pt>
                <pt idx="21">
                  <v>3.44</v>
                </pt>
                <pt idx="22">
                  <v>3.43</v>
                </pt>
                <pt idx="23">
                  <v>3.44</v>
                </pt>
                <pt idx="24">
                  <v>3.44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Amp1_Raw_data!$B$10</f>
              <strCache>
                <ptCount val="1"/>
                <pt idx="0">
                  <v>V 12Mon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Amp1_Raw_data!$C$10:$AA$10</f>
              <numCache>
                <formatCode>General</formatCode>
                <ptCount val="25"/>
                <pt idx="0">
                  <v>11.6</v>
                </pt>
                <pt idx="1">
                  <v>11.6</v>
                </pt>
                <pt idx="2">
                  <v>11.6</v>
                </pt>
                <pt idx="3">
                  <v>11.6</v>
                </pt>
                <pt idx="4">
                  <v>11.6</v>
                </pt>
                <pt idx="5">
                  <v>11.6</v>
                </pt>
                <pt idx="6">
                  <v>11.6</v>
                </pt>
                <pt idx="7">
                  <v>11.6</v>
                </pt>
                <pt idx="8">
                  <v>11.6</v>
                </pt>
                <pt idx="9">
                  <v>11.6</v>
                </pt>
                <pt idx="10">
                  <v>11.6</v>
                </pt>
                <pt idx="11">
                  <v>11.6</v>
                </pt>
                <pt idx="12">
                  <v>11.6</v>
                </pt>
                <pt idx="13">
                  <v>11.6</v>
                </pt>
                <pt idx="14">
                  <v>11.6</v>
                </pt>
                <pt idx="15">
                  <v>11.6</v>
                </pt>
                <pt idx="16">
                  <v>11.6</v>
                </pt>
                <pt idx="17">
                  <v>11.6</v>
                </pt>
                <pt idx="18">
                  <v>11.6</v>
                </pt>
                <pt idx="19">
                  <v>11.6</v>
                </pt>
                <pt idx="20">
                  <v>11.6</v>
                </pt>
                <pt idx="21">
                  <v>11.6</v>
                </pt>
                <pt idx="22">
                  <v>11.6</v>
                </pt>
                <pt idx="23">
                  <v>11.6</v>
                </pt>
                <pt idx="24">
                  <v>11.6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Amp1_Raw_data!$B$11</f>
              <strCache>
                <ptCount val="1"/>
                <pt idx="0">
                  <v>V Pre Mon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Amp1_Raw_data!$C$11:$AA$11</f>
              <numCache>
                <formatCode>General</formatCode>
                <ptCount val="25"/>
                <pt idx="0">
                  <v>19.5</v>
                </pt>
                <pt idx="1">
                  <v>19.5</v>
                </pt>
                <pt idx="2">
                  <v>19.5</v>
                </pt>
                <pt idx="3">
                  <v>19.5</v>
                </pt>
                <pt idx="4">
                  <v>19.5</v>
                </pt>
                <pt idx="5">
                  <v>19.5</v>
                </pt>
                <pt idx="6">
                  <v>19.5</v>
                </pt>
                <pt idx="7">
                  <v>19.5</v>
                </pt>
                <pt idx="8">
                  <v>19.5</v>
                </pt>
                <pt idx="9">
                  <v>19.5</v>
                </pt>
                <pt idx="10">
                  <v>19.5</v>
                </pt>
                <pt idx="11">
                  <v>19.5</v>
                </pt>
                <pt idx="12">
                  <v>19.5</v>
                </pt>
                <pt idx="13">
                  <v>19.5</v>
                </pt>
                <pt idx="14">
                  <v>19.5</v>
                </pt>
                <pt idx="15">
                  <v>19.5</v>
                </pt>
                <pt idx="16">
                  <v>19.5</v>
                </pt>
                <pt idx="17">
                  <v>19.5</v>
                </pt>
                <pt idx="18">
                  <v>19.5</v>
                </pt>
                <pt idx="19">
                  <v>19.5</v>
                </pt>
                <pt idx="20">
                  <v>19.5</v>
                </pt>
                <pt idx="21">
                  <v>19.5</v>
                </pt>
                <pt idx="22">
                  <v>19.5</v>
                </pt>
                <pt idx="23">
                  <v>19.5</v>
                </pt>
                <pt idx="24">
                  <v>19.5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Amp1_Raw_data!$B$12</f>
              <strCache>
                <ptCount val="1"/>
                <pt idx="0">
                  <v>I PRE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Amp1_Raw_data!$C$12:$AA$12</f>
              <numCache>
                <formatCode>General</formatCode>
                <ptCount val="25"/>
                <pt idx="0">
                  <v>1.59</v>
                </pt>
                <pt idx="1">
                  <v>1.61</v>
                </pt>
                <pt idx="2">
                  <v>1.6</v>
                </pt>
                <pt idx="3">
                  <v>1.62</v>
                </pt>
                <pt idx="4">
                  <v>1.6</v>
                </pt>
                <pt idx="5">
                  <v>1.64</v>
                </pt>
                <pt idx="6">
                  <v>1.61</v>
                </pt>
                <pt idx="7">
                  <v>1.6</v>
                </pt>
                <pt idx="8">
                  <v>1.59</v>
                </pt>
                <pt idx="9">
                  <v>1.59</v>
                </pt>
                <pt idx="10">
                  <v>1.61</v>
                </pt>
                <pt idx="11">
                  <v>1.58</v>
                </pt>
                <pt idx="12">
                  <v>1.56</v>
                </pt>
                <pt idx="13">
                  <v>1.6</v>
                </pt>
                <pt idx="14">
                  <v>1.62</v>
                </pt>
                <pt idx="15">
                  <v>1.63</v>
                </pt>
                <pt idx="16">
                  <v>1.62</v>
                </pt>
                <pt idx="17">
                  <v>1.63</v>
                </pt>
                <pt idx="18">
                  <v>1.63</v>
                </pt>
                <pt idx="19">
                  <v>1.63</v>
                </pt>
                <pt idx="20">
                  <v>1.6</v>
                </pt>
                <pt idx="21">
                  <v>1.58</v>
                </pt>
                <pt idx="22">
                  <v>1.58</v>
                </pt>
                <pt idx="23">
                  <v>1.57</v>
                </pt>
                <pt idx="24">
                  <v>1.59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Amp1_Raw_data!$B$13</f>
              <strCache>
                <ptCount val="1"/>
                <pt idx="0">
                  <v>I DRV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Amp1_Raw_data!$C$13:$AA$13</f>
              <numCache>
                <formatCode>General</formatCode>
                <ptCount val="25"/>
                <pt idx="0">
                  <v>4.37</v>
                </pt>
                <pt idx="1">
                  <v>4.4</v>
                </pt>
                <pt idx="2">
                  <v>4.38</v>
                </pt>
                <pt idx="3">
                  <v>4.4</v>
                </pt>
                <pt idx="4">
                  <v>4.36</v>
                </pt>
                <pt idx="5">
                  <v>4.41</v>
                </pt>
                <pt idx="6">
                  <v>4.35</v>
                </pt>
                <pt idx="7">
                  <v>4.33</v>
                </pt>
                <pt idx="8">
                  <v>4.33</v>
                </pt>
                <pt idx="9">
                  <v>4.32</v>
                </pt>
                <pt idx="10">
                  <v>4.39</v>
                </pt>
                <pt idx="11">
                  <v>4.33</v>
                </pt>
                <pt idx="12">
                  <v>4.29</v>
                </pt>
                <pt idx="13">
                  <v>4.37</v>
                </pt>
                <pt idx="14">
                  <v>4.36</v>
                </pt>
                <pt idx="15">
                  <v>4.38</v>
                </pt>
                <pt idx="16">
                  <v>4.35</v>
                </pt>
                <pt idx="17">
                  <v>4.38</v>
                </pt>
                <pt idx="18">
                  <v>4.36</v>
                </pt>
                <pt idx="19">
                  <v>4.38</v>
                </pt>
                <pt idx="20">
                  <v>4.31</v>
                </pt>
                <pt idx="21">
                  <v>4.29</v>
                </pt>
                <pt idx="22">
                  <v>4.29</v>
                </pt>
                <pt idx="23">
                  <v>4.29</v>
                </pt>
                <pt idx="24">
                  <v>4.29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Amp1_Raw_data!$B$14</f>
              <strCache>
                <ptCount val="1"/>
                <pt idx="0">
                  <v>I 1A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Amp1_Raw_data!$C$14:$AA$14</f>
              <numCache>
                <formatCode>General</formatCode>
                <ptCount val="25"/>
                <pt idx="0">
                  <v>13.49</v>
                </pt>
                <pt idx="1">
                  <v>13.53</v>
                </pt>
                <pt idx="2">
                  <v>13.52</v>
                </pt>
                <pt idx="3">
                  <v>13.6</v>
                </pt>
                <pt idx="4">
                  <v>13.56</v>
                </pt>
                <pt idx="5">
                  <v>13.65</v>
                </pt>
                <pt idx="6">
                  <v>13.57</v>
                </pt>
                <pt idx="7">
                  <v>13.56</v>
                </pt>
                <pt idx="8">
                  <v>13.52</v>
                </pt>
                <pt idx="9">
                  <v>13.49</v>
                </pt>
                <pt idx="10">
                  <v>13.54</v>
                </pt>
                <pt idx="11">
                  <v>13.49</v>
                </pt>
                <pt idx="12">
                  <v>13.41</v>
                </pt>
                <pt idx="13">
                  <v>13.53</v>
                </pt>
                <pt idx="14">
                  <v>13.56</v>
                </pt>
                <pt idx="15">
                  <v>13.57</v>
                </pt>
                <pt idx="16">
                  <v>13.58</v>
                </pt>
                <pt idx="17">
                  <v>13.6</v>
                </pt>
                <pt idx="18">
                  <v>13.59</v>
                </pt>
                <pt idx="19">
                  <v>13.59</v>
                </pt>
                <pt idx="20">
                  <v>13.5</v>
                </pt>
                <pt idx="21">
                  <v>13.45</v>
                </pt>
                <pt idx="22">
                  <v>13.43</v>
                </pt>
                <pt idx="23">
                  <v>13.39</v>
                </pt>
                <pt idx="24">
                  <v>13.44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Amp1_Raw_data!$B$15</f>
              <strCache>
                <ptCount val="1"/>
                <pt idx="0">
                  <v>I 2A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Amp1_Raw_data!$C$15:$AA$15</f>
              <numCache>
                <formatCode>General</formatCode>
                <ptCount val="25"/>
                <pt idx="0">
                  <v>13.2</v>
                </pt>
                <pt idx="1">
                  <v>13.2</v>
                </pt>
                <pt idx="2">
                  <v>13.2</v>
                </pt>
                <pt idx="3">
                  <v>13.27</v>
                </pt>
                <pt idx="4">
                  <v>13.24</v>
                </pt>
                <pt idx="5">
                  <v>13.3</v>
                </pt>
                <pt idx="6">
                  <v>13.24</v>
                </pt>
                <pt idx="7">
                  <v>13.23</v>
                </pt>
                <pt idx="8">
                  <v>13.21</v>
                </pt>
                <pt idx="9">
                  <v>13.17</v>
                </pt>
                <pt idx="10">
                  <v>13.22</v>
                </pt>
                <pt idx="11">
                  <v>13.17</v>
                </pt>
                <pt idx="12">
                  <v>13.12</v>
                </pt>
                <pt idx="13">
                  <v>13.22</v>
                </pt>
                <pt idx="14">
                  <v>13.25</v>
                </pt>
                <pt idx="15">
                  <v>13.26</v>
                </pt>
                <pt idx="16">
                  <v>13.26</v>
                </pt>
                <pt idx="17">
                  <v>13.27</v>
                </pt>
                <pt idx="18">
                  <v>13.26</v>
                </pt>
                <pt idx="19">
                  <v>13.26</v>
                </pt>
                <pt idx="20">
                  <v>13.18</v>
                </pt>
                <pt idx="21">
                  <v>13.14</v>
                </pt>
                <pt idx="22">
                  <v>13.14</v>
                </pt>
                <pt idx="23">
                  <v>13.12</v>
                </pt>
                <pt idx="24">
                  <v>13.14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Amp1_Raw_data!$B$16</f>
              <strCache>
                <ptCount val="1"/>
                <pt idx="0">
                  <v>I 3A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Amp1_Raw_data!$C$16:$AA$16</f>
              <numCache>
                <formatCode>General</formatCode>
                <ptCount val="25"/>
                <pt idx="0">
                  <v>12.11</v>
                </pt>
                <pt idx="1">
                  <v>12.08</v>
                </pt>
                <pt idx="2">
                  <v>12.09</v>
                </pt>
                <pt idx="3">
                  <v>12.12</v>
                </pt>
                <pt idx="4">
                  <v>12.12</v>
                </pt>
                <pt idx="5">
                  <v>12.13</v>
                </pt>
                <pt idx="6">
                  <v>12.14</v>
                </pt>
                <pt idx="7">
                  <v>12.13</v>
                </pt>
                <pt idx="8">
                  <v>12.12</v>
                </pt>
                <pt idx="9">
                  <v>12.09</v>
                </pt>
                <pt idx="10">
                  <v>12.1</v>
                </pt>
                <pt idx="11">
                  <v>12.09</v>
                </pt>
                <pt idx="12">
                  <v>12.08</v>
                </pt>
                <pt idx="13">
                  <v>12.11</v>
                </pt>
                <pt idx="14">
                  <v>12.1</v>
                </pt>
                <pt idx="15">
                  <v>12.11</v>
                </pt>
                <pt idx="16">
                  <v>12.12</v>
                </pt>
                <pt idx="17">
                  <v>12.12</v>
                </pt>
                <pt idx="18">
                  <v>12.12</v>
                </pt>
                <pt idx="19">
                  <v>12.11</v>
                </pt>
                <pt idx="20">
                  <v>12.08</v>
                </pt>
                <pt idx="21">
                  <v>12.07</v>
                </pt>
                <pt idx="22">
                  <v>12.04</v>
                </pt>
                <pt idx="23">
                  <v>12.04</v>
                </pt>
                <pt idx="24">
                  <v>12.06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Amp1_Raw_data!$B$17</f>
              <strCache>
                <ptCount val="1"/>
                <pt idx="0">
                  <v>I 1B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Amp1_Raw_data!$C$17:$AA$17</f>
              <numCache>
                <formatCode>General</formatCode>
                <ptCount val="25"/>
                <pt idx="0">
                  <v>13.07</v>
                </pt>
                <pt idx="1">
                  <v>13.06</v>
                </pt>
                <pt idx="2">
                  <v>13.04</v>
                </pt>
                <pt idx="3">
                  <v>13.12</v>
                </pt>
                <pt idx="4">
                  <v>13.09</v>
                </pt>
                <pt idx="5">
                  <v>13.15</v>
                </pt>
                <pt idx="6">
                  <v>13.11</v>
                </pt>
                <pt idx="7">
                  <v>13.1</v>
                </pt>
                <pt idx="8">
                  <v>13.08</v>
                </pt>
                <pt idx="9">
                  <v>13.05</v>
                </pt>
                <pt idx="10">
                  <v>13.11</v>
                </pt>
                <pt idx="11">
                  <v>13.04</v>
                </pt>
                <pt idx="12">
                  <v>13</v>
                </pt>
                <pt idx="13">
                  <v>13.11</v>
                </pt>
                <pt idx="14">
                  <v>13.12</v>
                </pt>
                <pt idx="15">
                  <v>13.14</v>
                </pt>
                <pt idx="16">
                  <v>13.15</v>
                </pt>
                <pt idx="17">
                  <v>13.16</v>
                </pt>
                <pt idx="18">
                  <v>13.16</v>
                </pt>
                <pt idx="19">
                  <v>13.15</v>
                </pt>
                <pt idx="20">
                  <v>13.07</v>
                </pt>
                <pt idx="21">
                  <v>13.01</v>
                </pt>
                <pt idx="22">
                  <v>13.02</v>
                </pt>
                <pt idx="23">
                  <v>13</v>
                </pt>
                <pt idx="24">
                  <v>13.02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Amp1_Raw_data!$B$18</f>
              <strCache>
                <ptCount val="1"/>
                <pt idx="0">
                  <v>I 2B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Amp1_Raw_data!$C$18:$AA$18</f>
              <numCache>
                <formatCode>General</formatCode>
                <ptCount val="25"/>
                <pt idx="0">
                  <v>13.34</v>
                </pt>
                <pt idx="1">
                  <v>13.34</v>
                </pt>
                <pt idx="2">
                  <v>13.33</v>
                </pt>
                <pt idx="3">
                  <v>13.43</v>
                </pt>
                <pt idx="4">
                  <v>13.38</v>
                </pt>
                <pt idx="5">
                  <v>13.48</v>
                </pt>
                <pt idx="6">
                  <v>13.41</v>
                </pt>
                <pt idx="7">
                  <v>13.4</v>
                </pt>
                <pt idx="8">
                  <v>13.36</v>
                </pt>
                <pt idx="9">
                  <v>13.33</v>
                </pt>
                <pt idx="10">
                  <v>13.39</v>
                </pt>
                <pt idx="11">
                  <v>13.32</v>
                </pt>
                <pt idx="12">
                  <v>13.26</v>
                </pt>
                <pt idx="13">
                  <v>13.39</v>
                </pt>
                <pt idx="14">
                  <v>13.41</v>
                </pt>
                <pt idx="15">
                  <v>13.44</v>
                </pt>
                <pt idx="16">
                  <v>13.43</v>
                </pt>
                <pt idx="17">
                  <v>13.45</v>
                </pt>
                <pt idx="18">
                  <v>13.45</v>
                </pt>
                <pt idx="19">
                  <v>13.45</v>
                </pt>
                <pt idx="20">
                  <v>13.34</v>
                </pt>
                <pt idx="21">
                  <v>13.28</v>
                </pt>
                <pt idx="22">
                  <v>13.28</v>
                </pt>
                <pt idx="23">
                  <v>13.24</v>
                </pt>
                <pt idx="24">
                  <v>13.29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Amp1_Raw_data!$B$19</f>
              <strCache>
                <ptCount val="1"/>
                <pt idx="0">
                  <v>I 3B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Amp1_Raw_data!$C$19:$AA$19</f>
              <numCache>
                <formatCode>General</formatCode>
                <ptCount val="25"/>
                <pt idx="0">
                  <v>13.56</v>
                </pt>
                <pt idx="1">
                  <v>13.6</v>
                </pt>
                <pt idx="2">
                  <v>13.57</v>
                </pt>
                <pt idx="3">
                  <v>13.69</v>
                </pt>
                <pt idx="4">
                  <v>13.6</v>
                </pt>
                <pt idx="5">
                  <v>13.74</v>
                </pt>
                <pt idx="6">
                  <v>13.63</v>
                </pt>
                <pt idx="7">
                  <v>13.61</v>
                </pt>
                <pt idx="8">
                  <v>13.58</v>
                </pt>
                <pt idx="9">
                  <v>13.56</v>
                </pt>
                <pt idx="10">
                  <v>13.65</v>
                </pt>
                <pt idx="11">
                  <v>13.53</v>
                </pt>
                <pt idx="12">
                  <v>13.45</v>
                </pt>
                <pt idx="13">
                  <v>13.64</v>
                </pt>
                <pt idx="14">
                  <v>13.67</v>
                </pt>
                <pt idx="15">
                  <v>13.69</v>
                </pt>
                <pt idx="16">
                  <v>13.69</v>
                </pt>
                <pt idx="17">
                  <v>13.71</v>
                </pt>
                <pt idx="18">
                  <v>13.71</v>
                </pt>
                <pt idx="19">
                  <v>13.71</v>
                </pt>
                <pt idx="20">
                  <v>13.59</v>
                </pt>
                <pt idx="21">
                  <v>13.52</v>
                </pt>
                <pt idx="22">
                  <v>13.53</v>
                </pt>
                <pt idx="23">
                  <v>13.49</v>
                </pt>
                <pt idx="24">
                  <v>13.52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Amp1_Raw_data!$B$20</f>
              <strCache>
                <ptCount val="1"/>
                <pt idx="0">
                  <v>Power A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Amp1_Raw_data!$C$20:$AA$20</f>
              <numCache>
                <formatCode>General</formatCode>
                <ptCount val="25"/>
                <pt idx="0">
                  <v>3.97</v>
                </pt>
                <pt idx="1">
                  <v>3.96</v>
                </pt>
                <pt idx="2">
                  <v>3.95</v>
                </pt>
                <pt idx="3">
                  <v>3.96</v>
                </pt>
                <pt idx="4">
                  <v>3.96</v>
                </pt>
                <pt idx="5">
                  <v>3.95</v>
                </pt>
                <pt idx="6">
                  <v>3.96</v>
                </pt>
                <pt idx="7">
                  <v>3.96</v>
                </pt>
                <pt idx="8">
                  <v>3.96</v>
                </pt>
                <pt idx="9">
                  <v>3.96</v>
                </pt>
                <pt idx="10">
                  <v>3.96</v>
                </pt>
                <pt idx="11">
                  <v>3.97</v>
                </pt>
                <pt idx="12">
                  <v>3.97</v>
                </pt>
                <pt idx="13">
                  <v>3.97</v>
                </pt>
                <pt idx="14">
                  <v>3.96</v>
                </pt>
                <pt idx="15">
                  <v>3.95</v>
                </pt>
                <pt idx="16">
                  <v>3.96</v>
                </pt>
                <pt idx="17">
                  <v>3.95</v>
                </pt>
                <pt idx="18">
                  <v>3.95</v>
                </pt>
                <pt idx="19">
                  <v>3.95</v>
                </pt>
                <pt idx="20">
                  <v>3.95</v>
                </pt>
                <pt idx="21">
                  <v>3.96</v>
                </pt>
                <pt idx="22">
                  <v>3.97</v>
                </pt>
                <pt idx="23">
                  <v>3.97</v>
                </pt>
                <pt idx="24">
                  <v>3.96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Amp1_Raw_data!$B$21</f>
              <strCache>
                <ptCount val="1"/>
                <pt idx="0">
                  <v>Power B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Amp1_Raw_data!$C$21:$AA$21</f>
              <numCache>
                <formatCode>General</formatCode>
                <ptCount val="25"/>
                <pt idx="0">
                  <v>4.04</v>
                </pt>
                <pt idx="1">
                  <v>4.04</v>
                </pt>
                <pt idx="2">
                  <v>4.04</v>
                </pt>
                <pt idx="3">
                  <v>4.04</v>
                </pt>
                <pt idx="4">
                  <v>4.04</v>
                </pt>
                <pt idx="5">
                  <v>4.04</v>
                </pt>
                <pt idx="6">
                  <v>4.04</v>
                </pt>
                <pt idx="7">
                  <v>4.04</v>
                </pt>
                <pt idx="8">
                  <v>4.04</v>
                </pt>
                <pt idx="9">
                  <v>4.04</v>
                </pt>
                <pt idx="10">
                  <v>4.04</v>
                </pt>
                <pt idx="11">
                  <v>4.04</v>
                </pt>
                <pt idx="12">
                  <v>4.04</v>
                </pt>
                <pt idx="13">
                  <v>4.04</v>
                </pt>
                <pt idx="14">
                  <v>4.04</v>
                </pt>
                <pt idx="15">
                  <v>4.04</v>
                </pt>
                <pt idx="16">
                  <v>4.04</v>
                </pt>
                <pt idx="17">
                  <v>4.04</v>
                </pt>
                <pt idx="18">
                  <v>4.04</v>
                </pt>
                <pt idx="19">
                  <v>4.04</v>
                </pt>
                <pt idx="20">
                  <v>4.04</v>
                </pt>
                <pt idx="21">
                  <v>4.04</v>
                </pt>
                <pt idx="22">
                  <v>4.04</v>
                </pt>
                <pt idx="23">
                  <v>4.04</v>
                </pt>
                <pt idx="24">
                  <v>4.04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Amp1_Raw_data!$B$22</f>
              <strCache>
                <ptCount val="1"/>
                <pt idx="0">
                  <v>Power V Ref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Amp1_Raw_data!$C$22:$AA$22</f>
              <numCache>
                <formatCode>General</formatCode>
                <ptCount val="25"/>
                <pt idx="0">
                  <v>4.05</v>
                </pt>
                <pt idx="1">
                  <v>4.05</v>
                </pt>
                <pt idx="2">
                  <v>4.05</v>
                </pt>
                <pt idx="3">
                  <v>4.05</v>
                </pt>
                <pt idx="4">
                  <v>4.05</v>
                </pt>
                <pt idx="5">
                  <v>4.05</v>
                </pt>
                <pt idx="6">
                  <v>4.05</v>
                </pt>
                <pt idx="7">
                  <v>4.05</v>
                </pt>
                <pt idx="8">
                  <v>4.05</v>
                </pt>
                <pt idx="9">
                  <v>4.05</v>
                </pt>
                <pt idx="10">
                  <v>4.05</v>
                </pt>
                <pt idx="11">
                  <v>4.05</v>
                </pt>
                <pt idx="12">
                  <v>4.05</v>
                </pt>
                <pt idx="13">
                  <v>4.05</v>
                </pt>
                <pt idx="14">
                  <v>4.05</v>
                </pt>
                <pt idx="15">
                  <v>4.05</v>
                </pt>
                <pt idx="16">
                  <v>4.05</v>
                </pt>
                <pt idx="17">
                  <v>4.05</v>
                </pt>
                <pt idx="18">
                  <v>4.05</v>
                </pt>
                <pt idx="19">
                  <v>4.05</v>
                </pt>
                <pt idx="20">
                  <v>4.05</v>
                </pt>
                <pt idx="21">
                  <v>4.05</v>
                </pt>
                <pt idx="22">
                  <v>4.05</v>
                </pt>
                <pt idx="23">
                  <v>4.05</v>
                </pt>
                <pt idx="24">
                  <v>4.05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Amp1_Raw_data!$B$23</f>
              <strCache>
                <ptCount val="1"/>
                <pt idx="0">
                  <v>Power Out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Amp1_Raw_data!$C$23:$AA$23</f>
              <numCache>
                <formatCode>General</formatCode>
                <ptCount val="25"/>
                <pt idx="0">
                  <v>4.06</v>
                </pt>
                <pt idx="1">
                  <v>4.04</v>
                </pt>
                <pt idx="2">
                  <v>4.05</v>
                </pt>
                <pt idx="3">
                  <v>4.05</v>
                </pt>
                <pt idx="4">
                  <v>4.06</v>
                </pt>
                <pt idx="5">
                  <v>4.05</v>
                </pt>
                <pt idx="6">
                  <v>4.06</v>
                </pt>
                <pt idx="7">
                  <v>4.06</v>
                </pt>
                <pt idx="8">
                  <v>4.06</v>
                </pt>
                <pt idx="9">
                  <v>4.06</v>
                </pt>
                <pt idx="10">
                  <v>4.05</v>
                </pt>
                <pt idx="11">
                  <v>4.06</v>
                </pt>
                <pt idx="12">
                  <v>4.07</v>
                </pt>
                <pt idx="13">
                  <v>4.06</v>
                </pt>
                <pt idx="14">
                  <v>4.05</v>
                </pt>
                <pt idx="15">
                  <v>4.05</v>
                </pt>
                <pt idx="16">
                  <v>4.05</v>
                </pt>
                <pt idx="17">
                  <v>4.05</v>
                </pt>
                <pt idx="18">
                  <v>4.05</v>
                </pt>
                <pt idx="19">
                  <v>4.05</v>
                </pt>
                <pt idx="20">
                  <v>4.05</v>
                </pt>
                <pt idx="21">
                  <v>4.06</v>
                </pt>
                <pt idx="22">
                  <v>4.05</v>
                </pt>
                <pt idx="23">
                  <v>4.06</v>
                </pt>
                <pt idx="24">
                  <v>4.05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Amp1_Raw_data!$B$24</f>
              <strCache>
                <ptCount val="1"/>
                <pt idx="0">
                  <v>Reflected Out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Amp1_Raw_data!$C$2:$AA$2</f>
              <numCache>
                <formatCode>yyyy"년"\ m"월";@</formatCode>
                <ptCount val="25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  <pt idx="11">
                  <v>44562</v>
                </pt>
                <pt idx="12">
                  <v>44593</v>
                </pt>
                <pt idx="13">
                  <v>44621</v>
                </pt>
                <pt idx="14">
                  <v>44652</v>
                </pt>
                <pt idx="15">
                  <v>44682</v>
                </pt>
                <pt idx="16">
                  <v>44713</v>
                </pt>
                <pt idx="17">
                  <v>44743</v>
                </pt>
                <pt idx="18">
                  <v>44774</v>
                </pt>
                <pt idx="19">
                  <v>44805</v>
                </pt>
                <pt idx="20">
                  <v>44835</v>
                </pt>
                <pt idx="21">
                  <v>44866</v>
                </pt>
                <pt idx="22">
                  <v>44896</v>
                </pt>
                <pt idx="23">
                  <v>44927</v>
                </pt>
                <pt idx="24">
                  <v>44958</v>
                </pt>
              </numCache>
            </numRef>
          </cat>
          <val>
            <numRef>
              <f>Amp1_Raw_data!$C$24:$AA$24</f>
              <numCache>
                <formatCode>General</formatCode>
                <ptCount val="25"/>
                <pt idx="0">
                  <v>1.18</v>
                </pt>
                <pt idx="1">
                  <v>1.23</v>
                </pt>
                <pt idx="2">
                  <v>1.16</v>
                </pt>
                <pt idx="3">
                  <v>1.24</v>
                </pt>
                <pt idx="4">
                  <v>1.19</v>
                </pt>
                <pt idx="5">
                  <v>1.21</v>
                </pt>
                <pt idx="6">
                  <v>1.18</v>
                </pt>
                <pt idx="7">
                  <v>1.21</v>
                </pt>
                <pt idx="8">
                  <v>1.21</v>
                </pt>
                <pt idx="9">
                  <v>1.21</v>
                </pt>
                <pt idx="10">
                  <v>1.24</v>
                </pt>
                <pt idx="11">
                  <v>1.19</v>
                </pt>
                <pt idx="12">
                  <v>1.22</v>
                </pt>
                <pt idx="13">
                  <v>1.27</v>
                </pt>
                <pt idx="14">
                  <v>1.24</v>
                </pt>
                <pt idx="15">
                  <v>1.23</v>
                </pt>
                <pt idx="16">
                  <v>1.24</v>
                </pt>
                <pt idx="17">
                  <v>1.25</v>
                </pt>
                <pt idx="18">
                  <v>1.24</v>
                </pt>
                <pt idx="19">
                  <v>1.23</v>
                </pt>
                <pt idx="20">
                  <v>1.17</v>
                </pt>
                <pt idx="21">
                  <v>1.17</v>
                </pt>
                <pt idx="22">
                  <v>1.27</v>
                </pt>
                <pt idx="23">
                  <v>1.32</v>
                </pt>
                <pt idx="24">
                  <v>1.19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Amp2_Raw_data!$B$3</f>
              <strCache>
                <ptCount val="1"/>
                <pt idx="0">
                  <v>AMP Temp [°C]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Amp2_Raw_data!$C$3:$M$3</f>
              <numCache>
                <formatCode>General</formatCode>
                <ptCount val="11"/>
                <pt idx="0">
                  <v>32.5</v>
                </pt>
                <pt idx="1">
                  <v>39.1</v>
                </pt>
                <pt idx="2">
                  <v>37.7</v>
                </pt>
                <pt idx="3">
                  <v>41.9</v>
                </pt>
                <pt idx="4">
                  <v>37.1</v>
                </pt>
                <pt idx="5">
                  <v>47.3</v>
                </pt>
                <pt idx="6">
                  <v>38.6</v>
                </pt>
                <pt idx="7">
                  <v>37.1</v>
                </pt>
                <pt idx="8">
                  <v>35.1</v>
                </pt>
                <pt idx="9">
                  <v>33.4</v>
                </pt>
                <pt idx="10">
                  <v>39.6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Amp2_Raw_data!$B$4</f>
              <strCache>
                <ptCount val="1"/>
                <pt idx="0">
                  <v>V Aux in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Amp2_Raw_data!$C$4:$M$4</f>
              <numCache>
                <formatCode>General</formatCode>
                <ptCount val="11"/>
                <pt idx="0">
                  <v>15.3</v>
                </pt>
                <pt idx="1">
                  <v>15.3</v>
                </pt>
                <pt idx="2">
                  <v>15.3</v>
                </pt>
                <pt idx="3">
                  <v>15.3</v>
                </pt>
                <pt idx="4">
                  <v>15.3</v>
                </pt>
                <pt idx="5">
                  <v>15.3</v>
                </pt>
                <pt idx="6">
                  <v>15.3</v>
                </pt>
                <pt idx="7">
                  <v>15.3</v>
                </pt>
                <pt idx="8">
                  <v>15.3</v>
                </pt>
                <pt idx="9">
                  <v>15.3</v>
                </pt>
                <pt idx="10">
                  <v>15.3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Amp2_Raw_data!$B$5</f>
              <strCache>
                <ptCount val="1"/>
                <pt idx="0">
                  <v>V+ Mon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Amp2_Raw_data!$C$5:$M$5</f>
              <numCache>
                <formatCode>General</formatCode>
                <ptCount val="11"/>
                <pt idx="0">
                  <v>43.5</v>
                </pt>
                <pt idx="1">
                  <v>43.5</v>
                </pt>
                <pt idx="2">
                  <v>43.5</v>
                </pt>
                <pt idx="3">
                  <v>43.5</v>
                </pt>
                <pt idx="4">
                  <v>43.5</v>
                </pt>
                <pt idx="5">
                  <v>43.4</v>
                </pt>
                <pt idx="6">
                  <v>43.5</v>
                </pt>
                <pt idx="7">
                  <v>43.5</v>
                </pt>
                <pt idx="8">
                  <v>43.5</v>
                </pt>
                <pt idx="9">
                  <v>43.5</v>
                </pt>
                <pt idx="10">
                  <v>43.5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Amp2_Raw_data!$B$6</f>
              <strCache>
                <ptCount val="1"/>
                <pt idx="0">
                  <v>I DC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Amp2_Raw_data!$C$6:$M$6</f>
              <numCache>
                <formatCode>General</formatCode>
                <ptCount val="11"/>
                <pt idx="0">
                  <v>81.8</v>
                </pt>
                <pt idx="1">
                  <v>81.40000000000001</v>
                </pt>
                <pt idx="2">
                  <v>81.7</v>
                </pt>
                <pt idx="3">
                  <v>81.7</v>
                </pt>
                <pt idx="4">
                  <v>82</v>
                </pt>
                <pt idx="5">
                  <v>81.90000000000001</v>
                </pt>
                <pt idx="6">
                  <v>82</v>
                </pt>
                <pt idx="7">
                  <v>82</v>
                </pt>
                <pt idx="8">
                  <v>81.8</v>
                </pt>
                <pt idx="9">
                  <v>81.7</v>
                </pt>
                <pt idx="10">
                  <v>81.59999999999999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Amp2_Raw_data!$B$7</f>
              <strCache>
                <ptCount val="1"/>
                <pt idx="0">
                  <v>I Pre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Amp2_Raw_data!$C$7:$M$7</f>
              <numCache>
                <formatCode>General</formatCode>
                <ptCount val="11"/>
                <pt idx="0">
                  <v>1.6</v>
                </pt>
                <pt idx="1">
                  <v>1.63</v>
                </pt>
                <pt idx="2">
                  <v>1.62</v>
                </pt>
                <pt idx="3">
                  <v>1.64</v>
                </pt>
                <pt idx="4">
                  <v>1.62</v>
                </pt>
                <pt idx="5">
                  <v>1.66</v>
                </pt>
                <pt idx="6">
                  <v>1.62</v>
                </pt>
                <pt idx="7">
                  <v>1.62</v>
                </pt>
                <pt idx="8">
                  <v>1.61</v>
                </pt>
                <pt idx="9">
                  <v>1.61</v>
                </pt>
                <pt idx="10">
                  <v>1.63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Amp2_Raw_data!$B$8</f>
              <strCache>
                <ptCount val="1"/>
                <pt idx="0">
                  <v>V5V ACB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Amp2_Raw_data!$C$8:$M$8</f>
              <numCache>
                <formatCode>General</formatCode>
                <ptCount val="11"/>
                <pt idx="0">
                  <v>5.2</v>
                </pt>
                <pt idx="1">
                  <v>5.2</v>
                </pt>
                <pt idx="2">
                  <v>5.2</v>
                </pt>
                <pt idx="3">
                  <v>5.19</v>
                </pt>
                <pt idx="4">
                  <v>5.2</v>
                </pt>
                <pt idx="5">
                  <v>5.19</v>
                </pt>
                <pt idx="6">
                  <v>5.2</v>
                </pt>
                <pt idx="7">
                  <v>5.2</v>
                </pt>
                <pt idx="8">
                  <v>5.2</v>
                </pt>
                <pt idx="9">
                  <v>5.2</v>
                </pt>
                <pt idx="10">
                  <v>5.2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Amp2_Raw_data!$B$9</f>
              <strCache>
                <ptCount val="1"/>
                <pt idx="0">
                  <v>V 3V5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Amp2_Raw_data!$C$9:$M$9</f>
              <numCache>
                <formatCode>General</formatCode>
                <ptCount val="11"/>
                <pt idx="0">
                  <v>3.46</v>
                </pt>
                <pt idx="1">
                  <v>3.46</v>
                </pt>
                <pt idx="2">
                  <v>3.46</v>
                </pt>
                <pt idx="3">
                  <v>3.45</v>
                </pt>
                <pt idx="4">
                  <v>3.46</v>
                </pt>
                <pt idx="5">
                  <v>3.45</v>
                </pt>
                <pt idx="6">
                  <v>3.46</v>
                </pt>
                <pt idx="7">
                  <v>3.46</v>
                </pt>
                <pt idx="8">
                  <v>3.46</v>
                </pt>
                <pt idx="9">
                  <v>3.46</v>
                </pt>
                <pt idx="10">
                  <v>3.45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Amp2_Raw_data!$B$10</f>
              <strCache>
                <ptCount val="1"/>
                <pt idx="0">
                  <v>V 12Mon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Amp2_Raw_data!$C$10:$M$10</f>
              <numCache>
                <formatCode>General</formatCode>
                <ptCount val="11"/>
                <pt idx="0">
                  <v>11.6</v>
                </pt>
                <pt idx="1">
                  <v>11.6</v>
                </pt>
                <pt idx="2">
                  <v>11.6</v>
                </pt>
                <pt idx="3">
                  <v>11.6</v>
                </pt>
                <pt idx="4">
                  <v>11.6</v>
                </pt>
                <pt idx="5">
                  <v>11.6</v>
                </pt>
                <pt idx="6">
                  <v>11.6</v>
                </pt>
                <pt idx="7">
                  <v>11.6</v>
                </pt>
                <pt idx="8">
                  <v>11.6</v>
                </pt>
                <pt idx="9">
                  <v>11.6</v>
                </pt>
                <pt idx="10">
                  <v>11.6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Amp2_Raw_data!$B$11</f>
              <strCache>
                <ptCount val="1"/>
                <pt idx="0">
                  <v>V Pre Mon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Amp2_Raw_data!$C$11:$M$11</f>
              <numCache>
                <formatCode>General</formatCode>
                <ptCount val="11"/>
                <pt idx="0">
                  <v>19.6</v>
                </pt>
                <pt idx="1">
                  <v>19.6</v>
                </pt>
                <pt idx="2">
                  <v>19.6</v>
                </pt>
                <pt idx="3">
                  <v>19.6</v>
                </pt>
                <pt idx="4">
                  <v>19.6</v>
                </pt>
                <pt idx="5">
                  <v>19.6</v>
                </pt>
                <pt idx="6">
                  <v>19.6</v>
                </pt>
                <pt idx="7">
                  <v>19.6</v>
                </pt>
                <pt idx="8">
                  <v>19.6</v>
                </pt>
                <pt idx="9">
                  <v>19.6</v>
                </pt>
                <pt idx="10">
                  <v>19.6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Amp2_Raw_data!$B$12</f>
              <strCache>
                <ptCount val="1"/>
                <pt idx="0">
                  <v>I PRE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Amp2_Raw_data!$C$12:$M$12</f>
              <numCache>
                <formatCode>General</formatCode>
                <ptCount val="11"/>
                <pt idx="0">
                  <v>1.6</v>
                </pt>
                <pt idx="1">
                  <v>1.63</v>
                </pt>
                <pt idx="2">
                  <v>1.62</v>
                </pt>
                <pt idx="3">
                  <v>1.64</v>
                </pt>
                <pt idx="4">
                  <v>1.62</v>
                </pt>
                <pt idx="5">
                  <v>1.66</v>
                </pt>
                <pt idx="6">
                  <v>1.62</v>
                </pt>
                <pt idx="7">
                  <v>1.62</v>
                </pt>
                <pt idx="8">
                  <v>1.61</v>
                </pt>
                <pt idx="9">
                  <v>1.61</v>
                </pt>
                <pt idx="10">
                  <v>1.63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Amp2_Raw_data!$B$13</f>
              <strCache>
                <ptCount val="1"/>
                <pt idx="0">
                  <v>I DRV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Amp2_Raw_data!$C$13:$M$13</f>
              <numCache>
                <formatCode>General</formatCode>
                <ptCount val="11"/>
                <pt idx="0">
                  <v>4.41</v>
                </pt>
                <pt idx="1">
                  <v>4.42</v>
                </pt>
                <pt idx="2">
                  <v>4.42</v>
                </pt>
                <pt idx="3">
                  <v>4.43</v>
                </pt>
                <pt idx="4">
                  <v>4.41</v>
                </pt>
                <pt idx="5">
                  <v>4.44</v>
                </pt>
                <pt idx="6">
                  <v>4.41</v>
                </pt>
                <pt idx="7">
                  <v>4.39</v>
                </pt>
                <pt idx="8">
                  <v>4.39</v>
                </pt>
                <pt idx="9">
                  <v>4.38</v>
                </pt>
                <pt idx="10">
                  <v>4.43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Amp2_Raw_data!$B$14</f>
              <strCache>
                <ptCount val="1"/>
                <pt idx="0">
                  <v>I 1A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Amp2_Raw_data!$C$14:$M$14</f>
              <numCache>
                <formatCode>General</formatCode>
                <ptCount val="11"/>
                <pt idx="0">
                  <v>12.4</v>
                </pt>
                <pt idx="1">
                  <v>12.34</v>
                </pt>
                <pt idx="2">
                  <v>12.38</v>
                </pt>
                <pt idx="3">
                  <v>12.4</v>
                </pt>
                <pt idx="4">
                  <v>12.42</v>
                </pt>
                <pt idx="5">
                  <v>12.43</v>
                </pt>
                <pt idx="6">
                  <v>12.43</v>
                </pt>
                <pt idx="7">
                  <v>12.42</v>
                </pt>
                <pt idx="8">
                  <v>12.39</v>
                </pt>
                <pt idx="9">
                  <v>12.37</v>
                </pt>
                <pt idx="10">
                  <v>12.39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Amp2_Raw_data!$B$15</f>
              <strCache>
                <ptCount val="1"/>
                <pt idx="0">
                  <v>I 2A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Amp2_Raw_data!$C$15:$M$15</f>
              <numCache>
                <formatCode>General</formatCode>
                <ptCount val="11"/>
                <pt idx="0">
                  <v>12.88</v>
                </pt>
                <pt idx="1">
                  <v>12.82</v>
                </pt>
                <pt idx="2">
                  <v>12.86</v>
                </pt>
                <pt idx="3">
                  <v>12.85</v>
                </pt>
                <pt idx="4">
                  <v>12.91</v>
                </pt>
                <pt idx="5">
                  <v>12.87</v>
                </pt>
                <pt idx="6">
                  <v>12.91</v>
                </pt>
                <pt idx="7">
                  <v>12.9</v>
                </pt>
                <pt idx="8">
                  <v>12.87</v>
                </pt>
                <pt idx="9">
                  <v>12.85</v>
                </pt>
                <pt idx="10">
                  <v>12.84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Amp2_Raw_data!$B$16</f>
              <strCache>
                <ptCount val="1"/>
                <pt idx="0">
                  <v>I 3A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Amp2_Raw_data!$C$16:$M$16</f>
              <numCache>
                <formatCode>General</formatCode>
                <ptCount val="11"/>
                <pt idx="0">
                  <v>11.3</v>
                </pt>
                <pt idx="1">
                  <v>11.22</v>
                </pt>
                <pt idx="2">
                  <v>11.26</v>
                </pt>
                <pt idx="3">
                  <v>11.24</v>
                </pt>
                <pt idx="4">
                  <v>11.3</v>
                </pt>
                <pt idx="5">
                  <v>11.24</v>
                </pt>
                <pt idx="6">
                  <v>11.3</v>
                </pt>
                <pt idx="7">
                  <v>11.3</v>
                </pt>
                <pt idx="8">
                  <v>11.29</v>
                </pt>
                <pt idx="9">
                  <v>11.28</v>
                </pt>
                <pt idx="10">
                  <v>11.24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Amp2_Raw_data!$B$17</f>
              <strCache>
                <ptCount val="1"/>
                <pt idx="0">
                  <v>I 1B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Amp2_Raw_data!$C$17:$M$17</f>
              <numCache>
                <formatCode>General</formatCode>
                <ptCount val="11"/>
                <pt idx="0">
                  <v>12.4</v>
                </pt>
                <pt idx="1">
                  <v>12.33</v>
                </pt>
                <pt idx="2">
                  <v>12.38</v>
                </pt>
                <pt idx="3">
                  <v>12.36</v>
                </pt>
                <pt idx="4">
                  <v>12.43</v>
                </pt>
                <pt idx="5">
                  <v>12.38</v>
                </pt>
                <pt idx="6">
                  <v>12.43</v>
                </pt>
                <pt idx="7">
                  <v>12.42</v>
                </pt>
                <pt idx="8">
                  <v>12.39</v>
                </pt>
                <pt idx="9">
                  <v>12.38</v>
                </pt>
                <pt idx="10">
                  <v>12.36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Amp2_Raw_data!$B$18</f>
              <strCache>
                <ptCount val="1"/>
                <pt idx="0">
                  <v>I 2B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Amp2_Raw_data!$C$18:$M$18</f>
              <numCache>
                <formatCode>General</formatCode>
                <ptCount val="11"/>
                <pt idx="0">
                  <v>12.91</v>
                </pt>
                <pt idx="1">
                  <v>12.89</v>
                </pt>
                <pt idx="2">
                  <v>12.92</v>
                </pt>
                <pt idx="3">
                  <v>12.94</v>
                </pt>
                <pt idx="4">
                  <v>12.97</v>
                </pt>
                <pt idx="5">
                  <v>12.98</v>
                </pt>
                <pt idx="6">
                  <v>12.97</v>
                </pt>
                <pt idx="7">
                  <v>12.95</v>
                </pt>
                <pt idx="8">
                  <v>12.93</v>
                </pt>
                <pt idx="9">
                  <v>12.91</v>
                </pt>
                <pt idx="10">
                  <v>12.92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Amp2_Raw_data!$B$19</f>
              <strCache>
                <ptCount val="1"/>
                <pt idx="0">
                  <v>I 3B [A]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Amp2_Raw_data!$C$19:$M$19</f>
              <numCache>
                <formatCode>General</formatCode>
                <ptCount val="11"/>
                <pt idx="0">
                  <v>13.42</v>
                </pt>
                <pt idx="1">
                  <v>13.39</v>
                </pt>
                <pt idx="2">
                  <v>13.43</v>
                </pt>
                <pt idx="3">
                  <v>13.44</v>
                </pt>
                <pt idx="4">
                  <v>13.46</v>
                </pt>
                <pt idx="5">
                  <v>13.48</v>
                </pt>
                <pt idx="6">
                  <v>13.47</v>
                </pt>
                <pt idx="7">
                  <v>13.47</v>
                </pt>
                <pt idx="8">
                  <v>13.43</v>
                </pt>
                <pt idx="9">
                  <v>13.41</v>
                </pt>
                <pt idx="10">
                  <v>13.42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Amp2_Raw_data!$B$20</f>
              <strCache>
                <ptCount val="1"/>
                <pt idx="0">
                  <v>Power A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Amp2_Raw_data!$C$20:$M$20</f>
              <numCache>
                <formatCode>General</formatCode>
                <ptCount val="11"/>
                <pt idx="0">
                  <v>3.9</v>
                </pt>
                <pt idx="1">
                  <v>3.87</v>
                </pt>
                <pt idx="2">
                  <v>3.89</v>
                </pt>
                <pt idx="3">
                  <v>3.87</v>
                </pt>
                <pt idx="4">
                  <v>3.9</v>
                </pt>
                <pt idx="5">
                  <v>3.87</v>
                </pt>
                <pt idx="6">
                  <v>3.89</v>
                </pt>
                <pt idx="7">
                  <v>3.89</v>
                </pt>
                <pt idx="8">
                  <v>3.89</v>
                </pt>
                <pt idx="9">
                  <v>3.89</v>
                </pt>
                <pt idx="10">
                  <v>3.87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Amp2_Raw_data!$B$21</f>
              <strCache>
                <ptCount val="1"/>
                <pt idx="0">
                  <v>Power B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Amp2_Raw_data!$C$21:$M$21</f>
              <numCache>
                <formatCode>General</formatCode>
                <ptCount val="11"/>
                <pt idx="0">
                  <v>4.04</v>
                </pt>
                <pt idx="1">
                  <v>4.04</v>
                </pt>
                <pt idx="2">
                  <v>4.04</v>
                </pt>
                <pt idx="3">
                  <v>4.04</v>
                </pt>
                <pt idx="4">
                  <v>4.04</v>
                </pt>
                <pt idx="5">
                  <v>4.04</v>
                </pt>
                <pt idx="6">
                  <v>4.04</v>
                </pt>
                <pt idx="7">
                  <v>4.04</v>
                </pt>
                <pt idx="8">
                  <v>4.04</v>
                </pt>
                <pt idx="9">
                  <v>4.04</v>
                </pt>
                <pt idx="10">
                  <v>4.04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Amp2_Raw_data!$B$22</f>
              <strCache>
                <ptCount val="1"/>
                <pt idx="0">
                  <v>Power V Ref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Amp2_Raw_data!$C$22:$M$22</f>
              <numCache>
                <formatCode>General</formatCode>
                <ptCount val="11"/>
                <pt idx="0">
                  <v>4.05</v>
                </pt>
                <pt idx="1">
                  <v>4.05</v>
                </pt>
                <pt idx="2">
                  <v>4.05</v>
                </pt>
                <pt idx="3">
                  <v>4.05</v>
                </pt>
                <pt idx="4">
                  <v>4.05</v>
                </pt>
                <pt idx="5">
                  <v>4.05</v>
                </pt>
                <pt idx="6">
                  <v>4.05</v>
                </pt>
                <pt idx="7">
                  <v>4.05</v>
                </pt>
                <pt idx="8">
                  <v>4.05</v>
                </pt>
                <pt idx="9">
                  <v>4.05</v>
                </pt>
                <pt idx="10">
                  <v>4.05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Amp2_Raw_data!$B$23</f>
              <strCache>
                <ptCount val="1"/>
                <pt idx="0">
                  <v>Power Out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Amp2_Raw_data!$C$23:$M$23</f>
              <numCache>
                <formatCode>General</formatCode>
                <ptCount val="11"/>
                <pt idx="0">
                  <v>4.1</v>
                </pt>
                <pt idx="1">
                  <v>4.07</v>
                </pt>
                <pt idx="2">
                  <v>4.08</v>
                </pt>
                <pt idx="3">
                  <v>4.07</v>
                </pt>
                <pt idx="4">
                  <v>4.09</v>
                </pt>
                <pt idx="5">
                  <v>4.07</v>
                </pt>
                <pt idx="6">
                  <v>4.09</v>
                </pt>
                <pt idx="7">
                  <v>4.09</v>
                </pt>
                <pt idx="8">
                  <v>4.09</v>
                </pt>
                <pt idx="9">
                  <v>4.09</v>
                </pt>
                <pt idx="10">
                  <v>4.08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b="0" i="0"/>
            </a:pPr>
            <a:r>
              <a:rPr b="0" i="0"/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Amp2_Raw_data!$B$24</f>
              <strCache>
                <ptCount val="1"/>
                <pt idx="0">
                  <v>Reflected Out [V]</v>
                </pt>
              </strCache>
            </strRef>
          </tx>
          <spPr>
            <a:ln xmlns:a="http://schemas.openxmlformats.org/drawingml/2006/main" w="28575" cap="rnd" cmpd="sng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Amp2_Raw_data!$C$2:$M$2</f>
              <numCache>
                <formatCode>yyyy"년"\ m"월";@</formatCode>
                <ptCount val="11"/>
                <pt idx="0">
                  <v>44228</v>
                </pt>
                <pt idx="1">
                  <v>44256</v>
                </pt>
                <pt idx="2">
                  <v>44287</v>
                </pt>
                <pt idx="3">
                  <v>44317</v>
                </pt>
                <pt idx="4">
                  <v>44348</v>
                </pt>
                <pt idx="5">
                  <v>44378</v>
                </pt>
                <pt idx="6">
                  <v>44409</v>
                </pt>
                <pt idx="7">
                  <v>44440</v>
                </pt>
                <pt idx="8">
                  <v>44470</v>
                </pt>
                <pt idx="9">
                  <v>44501</v>
                </pt>
                <pt idx="10">
                  <v>44531</v>
                </pt>
              </numCache>
            </numRef>
          </cat>
          <val>
            <numRef>
              <f>Amp2_Raw_data!$C$24:$M$24</f>
              <numCache>
                <formatCode>General</formatCode>
                <ptCount val="11"/>
                <pt idx="0">
                  <v>1.21</v>
                </pt>
                <pt idx="1">
                  <v>1.18</v>
                </pt>
                <pt idx="2">
                  <v>1.19</v>
                </pt>
                <pt idx="3">
                  <v>1.16</v>
                </pt>
                <pt idx="4">
                  <v>1.24</v>
                </pt>
                <pt idx="5">
                  <v>1.14</v>
                </pt>
                <pt idx="6">
                  <v>1.23</v>
                </pt>
                <pt idx="7">
                  <v>1.27</v>
                </pt>
                <pt idx="8">
                  <v>1.26</v>
                </pt>
                <pt idx="9">
                  <v>1.28</v>
                </pt>
                <pt idx="10">
                  <v>1.18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2880784"/>
        <axId val="1502863312"/>
      </lineChart>
      <dateAx>
        <axId val="1502880784"/>
        <scaling>
          <orientation val="minMax"/>
        </scaling>
        <delete val="0"/>
        <axPos val="b"/>
        <numFmt formatCode="yyyy&quot;년&quot;\ m&quot;월&quot;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63312"/>
        <crosses val="autoZero"/>
        <lblOffset val="100"/>
        <baseTimeUnit val="months"/>
      </dateAx>
      <valAx>
        <axId val="15028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>
            <a:noFill/>
            <a:prstDash val="solid"/>
          </a:ln>
        </spPr>
        <txPr>
          <a:bodyPr xmlns:a="http://schemas.openxmlformats.org/drawingml/2006/main" rot="0" vert="horz" lIns="0" tIns="0" rIns="0" bIns="0" anchor="ctr" anchorCtr="1"/>
          <a:lstStyle xmlns:a="http://schemas.openxmlformats.org/drawingml/2006/main"/>
          <a:p xmlns:a="http://schemas.openxmlformats.org/drawingml/2006/main"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t/>
            </a:r>
            <a:endParaRPr lang="ko-KR"/>
          </a:p>
        </txPr>
        <crossAx val="1502880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9525">
          <a:noFill/>
          <a:prstDash val="solid"/>
        </a:ln>
      </spPr>
      <txPr>
        <a:bodyPr xmlns:a="http://schemas.openxmlformats.org/drawingml/2006/main" rot="0" vert="horz" lIns="0" tIns="0" rIns="0" bIns="0" anchor="ctr" anchorCtr="1"/>
        <a:lstStyle xmlns:a="http://schemas.openxmlformats.org/drawingml/2006/main"/>
        <a:p xmlns:a="http://schemas.openxmlformats.org/drawingml/2006/main"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r>
            <a:t/>
          </a:r>
          <a:endParaRPr lang="ko-KR"/>
        </a:p>
      </txPr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Relationship Type="http://schemas.openxmlformats.org/officeDocument/2006/relationships/chart" Target="/xl/charts/chart25.xml" Id="rId3"/><Relationship Type="http://schemas.openxmlformats.org/officeDocument/2006/relationships/chart" Target="/xl/charts/chart26.xml" Id="rId4"/><Relationship Type="http://schemas.openxmlformats.org/officeDocument/2006/relationships/chart" Target="/xl/charts/chart27.xml" Id="rId5"/><Relationship Type="http://schemas.openxmlformats.org/officeDocument/2006/relationships/chart" Target="/xl/charts/chart28.xml" Id="rId6"/><Relationship Type="http://schemas.openxmlformats.org/officeDocument/2006/relationships/chart" Target="/xl/charts/chart29.xml" Id="rId7"/><Relationship Type="http://schemas.openxmlformats.org/officeDocument/2006/relationships/chart" Target="/xl/charts/chart30.xml" Id="rId8"/><Relationship Type="http://schemas.openxmlformats.org/officeDocument/2006/relationships/chart" Target="/xl/charts/chart31.xml" Id="rId9"/><Relationship Type="http://schemas.openxmlformats.org/officeDocument/2006/relationships/chart" Target="/xl/charts/chart32.xml" Id="rId10"/><Relationship Type="http://schemas.openxmlformats.org/officeDocument/2006/relationships/chart" Target="/xl/charts/chart33.xml" Id="rId11"/><Relationship Type="http://schemas.openxmlformats.org/officeDocument/2006/relationships/chart" Target="/xl/charts/chart34.xml" Id="rId12"/><Relationship Type="http://schemas.openxmlformats.org/officeDocument/2006/relationships/chart" Target="/xl/charts/chart35.xml" Id="rId13"/><Relationship Type="http://schemas.openxmlformats.org/officeDocument/2006/relationships/chart" Target="/xl/charts/chart36.xml" Id="rId14"/><Relationship Type="http://schemas.openxmlformats.org/officeDocument/2006/relationships/chart" Target="/xl/charts/chart37.xml" Id="rId15"/><Relationship Type="http://schemas.openxmlformats.org/officeDocument/2006/relationships/chart" Target="/xl/charts/chart38.xml" Id="rId16"/><Relationship Type="http://schemas.openxmlformats.org/officeDocument/2006/relationships/chart" Target="/xl/charts/chart39.xml" Id="rId17"/><Relationship Type="http://schemas.openxmlformats.org/officeDocument/2006/relationships/chart" Target="/xl/charts/chart40.xml" Id="rId18"/><Relationship Type="http://schemas.openxmlformats.org/officeDocument/2006/relationships/chart" Target="/xl/charts/chart41.xml" Id="rId19"/><Relationship Type="http://schemas.openxmlformats.org/officeDocument/2006/relationships/chart" Target="/xl/charts/chart42.xml" Id="rId20"/><Relationship Type="http://schemas.openxmlformats.org/officeDocument/2006/relationships/chart" Target="/xl/charts/chart43.xml" Id="rId21"/><Relationship Type="http://schemas.openxmlformats.org/officeDocument/2006/relationships/chart" Target="/xl/charts/chart44.xml" Id="rId22"/></Relationships>
</file>

<file path=xl/drawings/drawing1.xml><?xml version="1.0" encoding="utf-8"?>
<wsDr xmlns="http://schemas.openxmlformats.org/drawingml/2006/spreadsheetDrawing">
  <twoCellAnchor>
    <from>
      <col>0</col>
      <colOff>0</colOff>
      <row>24</row>
      <rowOff>160020</rowOff>
    </from>
    <to>
      <col>4</col>
      <colOff>762000</colOff>
      <row>36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15240</colOff>
      <row>24</row>
      <rowOff>160020</rowOff>
    </from>
    <to>
      <col>10</col>
      <colOff>304800</colOff>
      <row>36</row>
      <rowOff>91440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10</col>
      <colOff>381000</colOff>
      <row>24</row>
      <rowOff>160020</rowOff>
    </from>
    <to>
      <col>16</col>
      <colOff>60960</colOff>
      <row>36</row>
      <rowOff>99060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22860</colOff>
      <row>36</row>
      <rowOff>137160</rowOff>
    </from>
    <to>
      <col>4</col>
      <colOff>762000</colOff>
      <row>48</row>
      <rowOff>76200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5</col>
      <colOff>0</colOff>
      <row>36</row>
      <rowOff>152400</rowOff>
    </from>
    <to>
      <col>10</col>
      <colOff>320040</colOff>
      <row>48</row>
      <rowOff>91440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381000</colOff>
      <row>36</row>
      <rowOff>160020</rowOff>
    </from>
    <to>
      <col>16</col>
      <colOff>60960</colOff>
      <row>48</row>
      <rowOff>99060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22860</colOff>
      <row>48</row>
      <rowOff>121920</rowOff>
    </from>
    <to>
      <col>4</col>
      <colOff>762000</colOff>
      <row>60</row>
      <rowOff>60960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5</col>
      <colOff>15240</colOff>
      <row>48</row>
      <rowOff>137160</rowOff>
    </from>
    <to>
      <col>10</col>
      <colOff>327660</colOff>
      <row>60</row>
      <rowOff>76200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10</col>
      <colOff>381000</colOff>
      <row>48</row>
      <rowOff>137160</rowOff>
    </from>
    <to>
      <col>16</col>
      <colOff>60960</colOff>
      <row>60</row>
      <rowOff>76200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0</col>
      <colOff>38100</colOff>
      <row>60</row>
      <rowOff>99060</rowOff>
    </from>
    <to>
      <col>4</col>
      <colOff>762000</colOff>
      <row>72</row>
      <rowOff>38100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4</col>
      <colOff>822960</colOff>
      <row>60</row>
      <rowOff>99060</rowOff>
    </from>
    <to>
      <col>10</col>
      <colOff>304800</colOff>
      <row>72</row>
      <rowOff>38100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10</col>
      <colOff>381000</colOff>
      <row>60</row>
      <rowOff>99060</rowOff>
    </from>
    <to>
      <col>16</col>
      <colOff>53340</colOff>
      <row>72</row>
      <rowOff>38100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0</col>
      <colOff>38100</colOff>
      <row>72</row>
      <rowOff>91440</rowOff>
    </from>
    <to>
      <col>4</col>
      <colOff>762000</colOff>
      <row>84</row>
      <rowOff>15240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4</col>
      <colOff>822960</colOff>
      <row>72</row>
      <rowOff>99060</rowOff>
    </from>
    <to>
      <col>10</col>
      <colOff>304800</colOff>
      <row>84</row>
      <rowOff>22860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10</col>
      <colOff>365760</colOff>
      <row>72</row>
      <rowOff>99060</rowOff>
    </from>
    <to>
      <col>16</col>
      <colOff>38100</colOff>
      <row>84</row>
      <rowOff>22860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0</col>
      <colOff>38100</colOff>
      <row>84</row>
      <rowOff>76200</rowOff>
    </from>
    <to>
      <col>4</col>
      <colOff>777240</colOff>
      <row>95</row>
      <rowOff>190500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4</col>
      <colOff>830580</colOff>
      <row>84</row>
      <rowOff>76200</rowOff>
    </from>
    <to>
      <col>10</col>
      <colOff>304800</colOff>
      <row>95</row>
      <rowOff>190500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10</col>
      <colOff>381000</colOff>
      <row>84</row>
      <rowOff>76200</rowOff>
    </from>
    <to>
      <col>16</col>
      <colOff>53340</colOff>
      <row>96</row>
      <rowOff>0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0</col>
      <colOff>38100</colOff>
      <row>96</row>
      <rowOff>53340</rowOff>
    </from>
    <to>
      <col>4</col>
      <colOff>777240</colOff>
      <row>107</row>
      <rowOff>175260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4</col>
      <colOff>822960</colOff>
      <row>96</row>
      <rowOff>60960</rowOff>
    </from>
    <to>
      <col>10</col>
      <colOff>304800</colOff>
      <row>107</row>
      <rowOff>175260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10</col>
      <colOff>365760</colOff>
      <row>96</row>
      <rowOff>60960</rowOff>
    </from>
    <to>
      <col>16</col>
      <colOff>38100</colOff>
      <row>107</row>
      <rowOff>175260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0</col>
      <colOff>38100</colOff>
      <row>108</row>
      <rowOff>38100</rowOff>
    </from>
    <to>
      <col>4</col>
      <colOff>777240</colOff>
      <row>119</row>
      <rowOff>152400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24</row>
      <rowOff>160020</rowOff>
    </from>
    <to>
      <col>4</col>
      <colOff>762000</colOff>
      <row>36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15240</colOff>
      <row>24</row>
      <rowOff>160020</rowOff>
    </from>
    <to>
      <col>10</col>
      <colOff>304800</colOff>
      <row>36</row>
      <rowOff>91440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10</col>
      <colOff>381000</colOff>
      <row>24</row>
      <rowOff>160020</rowOff>
    </from>
    <to>
      <col>16</col>
      <colOff>60960</colOff>
      <row>36</row>
      <rowOff>99060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22860</colOff>
      <row>36</row>
      <rowOff>137160</rowOff>
    </from>
    <to>
      <col>4</col>
      <colOff>762000</colOff>
      <row>48</row>
      <rowOff>76200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5</col>
      <colOff>0</colOff>
      <row>36</row>
      <rowOff>152400</rowOff>
    </from>
    <to>
      <col>10</col>
      <colOff>320040</colOff>
      <row>48</row>
      <rowOff>91440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381000</colOff>
      <row>36</row>
      <rowOff>160020</rowOff>
    </from>
    <to>
      <col>16</col>
      <colOff>60960</colOff>
      <row>48</row>
      <rowOff>99060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22860</colOff>
      <row>48</row>
      <rowOff>121920</rowOff>
    </from>
    <to>
      <col>4</col>
      <colOff>762000</colOff>
      <row>60</row>
      <rowOff>60960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5</col>
      <colOff>15240</colOff>
      <row>48</row>
      <rowOff>137160</rowOff>
    </from>
    <to>
      <col>10</col>
      <colOff>327660</colOff>
      <row>60</row>
      <rowOff>76200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10</col>
      <colOff>381000</colOff>
      <row>48</row>
      <rowOff>137160</rowOff>
    </from>
    <to>
      <col>16</col>
      <colOff>60960</colOff>
      <row>60</row>
      <rowOff>76200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0</col>
      <colOff>38100</colOff>
      <row>60</row>
      <rowOff>99060</rowOff>
    </from>
    <to>
      <col>4</col>
      <colOff>762000</colOff>
      <row>72</row>
      <rowOff>38100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4</col>
      <colOff>822960</colOff>
      <row>60</row>
      <rowOff>99060</rowOff>
    </from>
    <to>
      <col>10</col>
      <colOff>304800</colOff>
      <row>72</row>
      <rowOff>38100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10</col>
      <colOff>381000</colOff>
      <row>60</row>
      <rowOff>99060</rowOff>
    </from>
    <to>
      <col>16</col>
      <colOff>53340</colOff>
      <row>72</row>
      <rowOff>38100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0</col>
      <colOff>38100</colOff>
      <row>72</row>
      <rowOff>91440</rowOff>
    </from>
    <to>
      <col>4</col>
      <colOff>762000</colOff>
      <row>84</row>
      <rowOff>15240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4</col>
      <colOff>822960</colOff>
      <row>72</row>
      <rowOff>99060</rowOff>
    </from>
    <to>
      <col>10</col>
      <colOff>304800</colOff>
      <row>84</row>
      <rowOff>22860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10</col>
      <colOff>365760</colOff>
      <row>72</row>
      <rowOff>99060</rowOff>
    </from>
    <to>
      <col>16</col>
      <colOff>38100</colOff>
      <row>84</row>
      <rowOff>22860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0</col>
      <colOff>38100</colOff>
      <row>84</row>
      <rowOff>76200</rowOff>
    </from>
    <to>
      <col>4</col>
      <colOff>777240</colOff>
      <row>95</row>
      <rowOff>190500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4</col>
      <colOff>830580</colOff>
      <row>84</row>
      <rowOff>76200</rowOff>
    </from>
    <to>
      <col>10</col>
      <colOff>304800</colOff>
      <row>95</row>
      <rowOff>190500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10</col>
      <colOff>381000</colOff>
      <row>84</row>
      <rowOff>76200</rowOff>
    </from>
    <to>
      <col>16</col>
      <colOff>53340</colOff>
      <row>96</row>
      <rowOff>0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0</col>
      <colOff>38100</colOff>
      <row>96</row>
      <rowOff>53340</rowOff>
    </from>
    <to>
      <col>4</col>
      <colOff>777240</colOff>
      <row>107</row>
      <rowOff>175260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4</col>
      <colOff>822960</colOff>
      <row>96</row>
      <rowOff>60960</rowOff>
    </from>
    <to>
      <col>10</col>
      <colOff>304800</colOff>
      <row>107</row>
      <rowOff>175260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10</col>
      <colOff>365760</colOff>
      <row>96</row>
      <rowOff>60960</rowOff>
    </from>
    <to>
      <col>16</col>
      <colOff>38100</colOff>
      <row>107</row>
      <rowOff>175260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0</col>
      <colOff>38100</colOff>
      <row>108</row>
      <rowOff>38100</rowOff>
    </from>
    <to>
      <col>4</col>
      <colOff>777240</colOff>
      <row>119</row>
      <rowOff>152400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UHD TX</t>
        </is>
      </c>
      <c r="G2" s="24" t="n">
        <v>202</v>
      </c>
      <c r="H2" s="24" t="inlineStr">
        <is>
          <t>년</t>
        </is>
      </c>
      <c r="I2" s="24" t="inlineStr">
        <is>
          <t>월</t>
        </is>
      </c>
      <c r="J2" s="24" t="inlineStr">
        <is>
          <t>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UHD 1  TX A</t>
        </is>
      </c>
      <c r="D3" s="72" t="n"/>
      <c r="E3" s="13" t="inlineStr">
        <is>
          <t>FWD</t>
        </is>
      </c>
      <c r="F3" s="13" t="n"/>
      <c r="G3" s="13" t="inlineStr">
        <is>
          <t>KW</t>
        </is>
      </c>
      <c r="H3" s="15" t="inlineStr">
        <is>
          <t>REF</t>
        </is>
      </c>
      <c r="I3" s="13" t="n"/>
      <c r="J3" s="14" t="inlineStr">
        <is>
          <t>W</t>
        </is>
      </c>
    </row>
    <row r="4" ht="23.25" customHeight="1" s="55">
      <c r="A4" s="79" t="inlineStr">
        <is>
          <t>ANT  /  DL</t>
        </is>
      </c>
      <c r="B4" s="74" t="n"/>
      <c r="C4" s="22" t="inlineStr">
        <is>
          <t>AMP 1</t>
        </is>
      </c>
      <c r="D4" s="53" t="inlineStr">
        <is>
          <t>AMP 2</t>
        </is>
      </c>
      <c r="E4" s="80" t="inlineStr">
        <is>
          <t>AMP 3</t>
        </is>
      </c>
      <c r="F4" s="53" t="inlineStr">
        <is>
          <t>AMP 4</t>
        </is>
      </c>
      <c r="G4" s="80" t="inlineStr">
        <is>
          <t>AMP 5</t>
        </is>
      </c>
      <c r="H4" s="53" t="inlineStr">
        <is>
          <t>AMP 6</t>
        </is>
      </c>
      <c r="I4" s="80" t="inlineStr">
        <is>
          <t>비 고</t>
        </is>
      </c>
      <c r="J4" s="74" t="n"/>
    </row>
    <row r="5" ht="23.25" customHeight="1" s="55">
      <c r="A5" s="77" t="inlineStr">
        <is>
          <t>Supply</t>
        </is>
      </c>
      <c r="B5" s="16" t="inlineStr">
        <is>
          <t>AMP Temp</t>
        </is>
      </c>
      <c r="C5" s="2" t="n"/>
      <c r="D5" s="19" t="n"/>
      <c r="E5" s="2" t="n"/>
      <c r="F5" s="19" t="n"/>
      <c r="G5" s="2" t="n"/>
      <c r="H5" s="19" t="n"/>
      <c r="I5" s="58" t="n"/>
      <c r="J5" s="59" t="n"/>
    </row>
    <row r="6" ht="23.25" customHeight="1" s="55">
      <c r="A6" s="65" t="n"/>
      <c r="B6" s="17" t="inlineStr">
        <is>
          <t>V Aux in</t>
        </is>
      </c>
      <c r="C6" s="3" t="n"/>
      <c r="D6" s="20" t="n"/>
      <c r="E6" s="3" t="n"/>
      <c r="F6" s="20" t="n"/>
      <c r="G6" s="3" t="n"/>
      <c r="H6" s="20" t="n"/>
      <c r="I6" s="60" t="n"/>
      <c r="J6" s="61" t="n"/>
    </row>
    <row r="7" ht="23.25" customHeight="1" s="55">
      <c r="A7" s="65" t="n"/>
      <c r="B7" s="17" t="inlineStr">
        <is>
          <t>V+ Mon</t>
        </is>
      </c>
      <c r="C7" s="3" t="n"/>
      <c r="D7" s="20" t="n"/>
      <c r="E7" s="3" t="n"/>
      <c r="F7" s="20" t="n"/>
      <c r="G7" s="3" t="n"/>
      <c r="H7" s="20" t="n"/>
      <c r="I7" s="62" t="n"/>
      <c r="J7" s="63" t="n"/>
    </row>
    <row r="8" ht="23.25" customHeight="1" s="55">
      <c r="A8" s="65" t="n"/>
      <c r="B8" s="17" t="inlineStr">
        <is>
          <t>I DC</t>
        </is>
      </c>
      <c r="C8" s="3" t="n"/>
      <c r="D8" s="20" t="n"/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17" t="inlineStr">
        <is>
          <t>I Pre</t>
        </is>
      </c>
      <c r="C9" s="3" t="n"/>
      <c r="D9" s="20" t="n"/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17" t="inlineStr">
        <is>
          <t>V5V ACB</t>
        </is>
      </c>
      <c r="C10" s="3" t="n"/>
      <c r="D10" s="20" t="n"/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17" t="inlineStr">
        <is>
          <t>V 3V5</t>
        </is>
      </c>
      <c r="C11" s="3" t="n"/>
      <c r="D11" s="20" t="n"/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17" t="inlineStr">
        <is>
          <t>V 12Mon</t>
        </is>
      </c>
      <c r="C12" s="3" t="n"/>
      <c r="D12" s="20" t="n"/>
      <c r="E12" s="3" t="n"/>
      <c r="F12" s="20" t="n"/>
      <c r="G12" s="3" t="n"/>
      <c r="H12" s="20" t="n"/>
      <c r="I12" s="62" t="n"/>
      <c r="J12" s="63" t="n"/>
    </row>
    <row r="13" ht="23.25" customHeight="1" s="55">
      <c r="A13" s="66" t="n"/>
      <c r="B13" s="26" t="inlineStr">
        <is>
          <t>V Pre Mon</t>
        </is>
      </c>
      <c r="C13" s="27" t="n"/>
      <c r="D13" s="28" t="n"/>
      <c r="E13" s="27" t="n"/>
      <c r="F13" s="28" t="n"/>
      <c r="G13" s="27" t="n"/>
      <c r="H13" s="28" t="n"/>
      <c r="I13" s="69" t="n"/>
      <c r="J13" s="70" t="n"/>
    </row>
    <row r="14" ht="23.25" customHeight="1" s="55">
      <c r="A14" s="77" t="inlineStr">
        <is>
          <t>Transistors</t>
        </is>
      </c>
      <c r="B14" s="16" t="inlineStr">
        <is>
          <t>I PRE</t>
        </is>
      </c>
      <c r="C14" s="2" t="n"/>
      <c r="D14" s="19" t="n"/>
      <c r="E14" s="2" t="n"/>
      <c r="F14" s="19" t="n"/>
      <c r="G14" s="2" t="n"/>
      <c r="H14" s="19" t="n"/>
      <c r="I14" s="60" t="n"/>
      <c r="J14" s="61" t="n"/>
    </row>
    <row r="15" ht="23.25" customHeight="1" s="55">
      <c r="A15" s="65" t="n"/>
      <c r="B15" s="17" t="inlineStr">
        <is>
          <t>I DRV</t>
        </is>
      </c>
      <c r="C15" s="3" t="n"/>
      <c r="D15" s="20" t="n"/>
      <c r="E15" s="3" t="n"/>
      <c r="F15" s="20" t="n"/>
      <c r="G15" s="3" t="n"/>
      <c r="H15" s="20" t="n"/>
      <c r="I15" s="62" t="n"/>
      <c r="J15" s="63" t="n"/>
    </row>
    <row r="16" ht="23.25" customHeight="1" s="55">
      <c r="A16" s="65" t="n"/>
      <c r="B16" s="17" t="inlineStr">
        <is>
          <t>I 1A</t>
        </is>
      </c>
      <c r="C16" s="3" t="n"/>
      <c r="D16" s="20" t="n"/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17" t="inlineStr">
        <is>
          <t>I 2A</t>
        </is>
      </c>
      <c r="C17" s="3" t="n"/>
      <c r="D17" s="20" t="n"/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17" t="inlineStr">
        <is>
          <t>I 3A</t>
        </is>
      </c>
      <c r="C18" s="3" t="n"/>
      <c r="D18" s="20" t="n"/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17" t="inlineStr">
        <is>
          <t>I 1B</t>
        </is>
      </c>
      <c r="C19" s="3" t="n"/>
      <c r="D19" s="20" t="n"/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17" t="inlineStr">
        <is>
          <t>I 2B</t>
        </is>
      </c>
      <c r="C20" s="3" t="n"/>
      <c r="D20" s="20" t="n"/>
      <c r="E20" s="3" t="n"/>
      <c r="F20" s="20" t="n"/>
      <c r="G20" s="3" t="n"/>
      <c r="H20" s="20" t="n"/>
      <c r="I20" s="62" t="n"/>
      <c r="J20" s="63" t="n"/>
    </row>
    <row r="21" ht="23.25" customHeight="1" s="55">
      <c r="A21" s="66" t="n"/>
      <c r="B21" s="26" t="inlineStr">
        <is>
          <t>I 3B</t>
        </is>
      </c>
      <c r="C21" s="27" t="n"/>
      <c r="D21" s="28" t="n"/>
      <c r="E21" s="27" t="n"/>
      <c r="F21" s="28" t="n"/>
      <c r="G21" s="27" t="n"/>
      <c r="H21" s="28" t="n"/>
      <c r="I21" s="69" t="n"/>
      <c r="J21" s="70" t="n"/>
    </row>
    <row r="22" ht="23.25" customHeight="1" s="55">
      <c r="A22" s="77" t="inlineStr">
        <is>
          <t>RF Levels</t>
        </is>
      </c>
      <c r="B22" s="16" t="inlineStr">
        <is>
          <t>Power A</t>
        </is>
      </c>
      <c r="C22" s="2" t="n"/>
      <c r="D22" s="19" t="n"/>
      <c r="E22" s="2" t="n"/>
      <c r="F22" s="19" t="n"/>
      <c r="G22" s="2" t="n"/>
      <c r="H22" s="19" t="n"/>
      <c r="I22" s="60" t="n"/>
      <c r="J22" s="61" t="n"/>
    </row>
    <row r="23" ht="23.25" customHeight="1" s="55">
      <c r="A23" s="65" t="n"/>
      <c r="B23" s="17" t="inlineStr">
        <is>
          <t>Power B</t>
        </is>
      </c>
      <c r="C23" s="3" t="n"/>
      <c r="D23" s="20" t="n"/>
      <c r="E23" s="3" t="n"/>
      <c r="F23" s="20" t="n"/>
      <c r="G23" s="3" t="n"/>
      <c r="H23" s="20" t="n"/>
      <c r="I23" s="62" t="n"/>
      <c r="J23" s="63" t="n"/>
    </row>
    <row r="24" ht="23.25" customHeight="1" s="55">
      <c r="A24" s="65" t="n"/>
      <c r="B24" s="17" t="inlineStr">
        <is>
          <t>Power V Ref</t>
        </is>
      </c>
      <c r="C24" s="3" t="n"/>
      <c r="D24" s="20" t="n"/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17" t="inlineStr">
        <is>
          <t>Power Out</t>
        </is>
      </c>
      <c r="C25" s="3" t="n"/>
      <c r="D25" s="20" t="n"/>
      <c r="E25" s="3" t="n"/>
      <c r="F25" s="20" t="n"/>
      <c r="G25" s="3" t="n"/>
      <c r="H25" s="20" t="n"/>
      <c r="I25" s="62" t="n"/>
      <c r="J25" s="63" t="n"/>
    </row>
    <row r="26" ht="23.25" customHeight="1" s="55">
      <c r="A26" s="66" t="n"/>
      <c r="B26" s="18" t="inlineStr">
        <is>
          <t>Reflected Out</t>
        </is>
      </c>
      <c r="C26" s="4" t="n"/>
      <c r="D26" s="21" t="n"/>
      <c r="E26" s="4" t="n"/>
      <c r="F26" s="21" t="n"/>
      <c r="G26" s="4" t="n"/>
      <c r="H26" s="21" t="n"/>
      <c r="I26" s="67" t="n"/>
      <c r="J26" s="68" t="n"/>
    </row>
    <row r="27" ht="13.5" customHeight="1" s="55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3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A14:A21"/>
    <mergeCell ref="C3:D3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24"/>
  <sheetViews>
    <sheetView topLeftCell="O31" zoomScaleNormal="100" zoomScaleSheetLayoutView="100" workbookViewId="0">
      <selection activeCell="R22" sqref="R22"/>
    </sheetView>
  </sheetViews>
  <sheetFormatPr baseColWidth="8" defaultColWidth="8.625" defaultRowHeight="16.5"/>
  <cols>
    <col width="10.375" bestFit="1" customWidth="1" style="55" min="1" max="1"/>
    <col width="17.125" bestFit="1" customWidth="1" style="55" min="2" max="2"/>
    <col width="11" bestFit="1" customWidth="1" style="55" min="3" max="10"/>
    <col width="12.125" bestFit="1" customWidth="1" style="55" min="11" max="13"/>
    <col width="11.875" bestFit="1" customWidth="1" style="55" min="14" max="22"/>
    <col width="13.125" bestFit="1" customWidth="1" style="55" min="23" max="25"/>
    <col width="11.875" bestFit="1" customWidth="1" style="55" min="26" max="27"/>
  </cols>
  <sheetData>
    <row r="1">
      <c r="A1" s="40" t="inlineStr">
        <is>
          <t>D1TV TX-1 AMP1</t>
        </is>
      </c>
    </row>
    <row r="2">
      <c r="C2" s="82" t="n">
        <v>44228</v>
      </c>
      <c r="D2" s="82" t="n">
        <v>44256</v>
      </c>
      <c r="E2" s="82" t="n">
        <v>44287</v>
      </c>
      <c r="F2" s="82" t="n">
        <v>44317</v>
      </c>
      <c r="G2" s="82" t="n">
        <v>44348</v>
      </c>
      <c r="H2" s="82" t="n">
        <v>44378</v>
      </c>
      <c r="I2" s="82" t="n">
        <v>44409</v>
      </c>
      <c r="J2" s="82" t="n">
        <v>44440</v>
      </c>
      <c r="K2" s="82" t="n">
        <v>44470</v>
      </c>
      <c r="L2" s="82" t="n">
        <v>44501</v>
      </c>
      <c r="M2" s="82" t="n">
        <v>44531</v>
      </c>
      <c r="N2" s="82" t="n">
        <v>44562</v>
      </c>
      <c r="O2" s="82" t="n">
        <v>44593</v>
      </c>
      <c r="P2" s="82" t="n">
        <v>44621</v>
      </c>
      <c r="Q2" s="82" t="n">
        <v>44652</v>
      </c>
      <c r="R2" s="82" t="n">
        <v>44682</v>
      </c>
      <c r="S2" s="82" t="n">
        <v>44713</v>
      </c>
      <c r="T2" s="82" t="n">
        <v>44743</v>
      </c>
      <c r="U2" s="82" t="n">
        <v>44774</v>
      </c>
      <c r="V2" s="82" t="n">
        <v>44805</v>
      </c>
      <c r="W2" s="82" t="n">
        <v>44835</v>
      </c>
      <c r="X2" s="82" t="n">
        <v>44866</v>
      </c>
      <c r="Y2" s="82" t="n">
        <v>44896</v>
      </c>
      <c r="Z2" s="82" t="n">
        <v>44927</v>
      </c>
      <c r="AA2" s="82" t="n">
        <v>44958</v>
      </c>
    </row>
    <row r="3">
      <c r="A3" s="39" t="inlineStr">
        <is>
          <t>Supply</t>
        </is>
      </c>
      <c r="B3" s="39" t="inlineStr">
        <is>
          <t>AMP Temp [°C]</t>
        </is>
      </c>
      <c r="C3" s="0" t="n">
        <v>32.1</v>
      </c>
      <c r="D3" s="0" t="n">
        <v>38.8</v>
      </c>
      <c r="E3" s="0" t="n">
        <v>37.4</v>
      </c>
      <c r="F3" s="0" t="n">
        <v>41.5</v>
      </c>
      <c r="G3" s="0" t="n">
        <v>36.8</v>
      </c>
      <c r="H3" s="0" t="n">
        <v>47</v>
      </c>
      <c r="I3" s="0" t="n">
        <v>38.3</v>
      </c>
      <c r="J3" s="0" t="n">
        <v>36.7</v>
      </c>
      <c r="K3" s="0" t="n">
        <v>34.8</v>
      </c>
      <c r="L3" s="0" t="n">
        <v>33</v>
      </c>
      <c r="M3" s="0" t="n">
        <v>39.2</v>
      </c>
      <c r="N3" s="0" t="n">
        <v>31</v>
      </c>
      <c r="O3" s="0" t="n">
        <v>25.2</v>
      </c>
      <c r="P3" s="0" t="n">
        <v>36.5</v>
      </c>
      <c r="Q3" s="0" t="n">
        <v>41.1</v>
      </c>
      <c r="R3" s="0" t="n">
        <v>43.6</v>
      </c>
      <c r="S3" s="0" t="n">
        <v>41</v>
      </c>
      <c r="T3" s="0" t="n">
        <v>43.5</v>
      </c>
      <c r="U3" s="0" t="n">
        <v>43.3</v>
      </c>
      <c r="V3" s="0" t="n">
        <v>45</v>
      </c>
      <c r="W3" s="0" t="n">
        <v>35.9</v>
      </c>
      <c r="X3" s="0" t="n">
        <v>30.6</v>
      </c>
      <c r="Y3" s="0" t="n">
        <v>29.7</v>
      </c>
      <c r="Z3" s="0" t="n">
        <v>26.1</v>
      </c>
      <c r="AA3" s="0" t="n">
        <v>31.6</v>
      </c>
    </row>
    <row r="4">
      <c r="B4" s="39" t="inlineStr">
        <is>
          <t>V Aux in [V]</t>
        </is>
      </c>
      <c r="C4" s="0" t="n">
        <v>15.4</v>
      </c>
      <c r="D4" s="0" t="n">
        <v>15.5</v>
      </c>
      <c r="E4" s="0" t="n">
        <v>15.4</v>
      </c>
      <c r="F4" s="0" t="n">
        <v>15.5</v>
      </c>
      <c r="G4" s="0" t="n">
        <v>15.4</v>
      </c>
      <c r="H4" s="0" t="n">
        <v>15.5</v>
      </c>
      <c r="I4" s="0" t="n">
        <v>15.4</v>
      </c>
      <c r="J4" s="0" t="n">
        <v>15.4</v>
      </c>
      <c r="K4" s="0" t="n">
        <v>15.4</v>
      </c>
      <c r="L4" s="0" t="n">
        <v>15.4</v>
      </c>
      <c r="M4" s="0" t="n">
        <v>15.5</v>
      </c>
      <c r="N4" s="0" t="n">
        <v>15.4</v>
      </c>
      <c r="O4" s="0" t="n">
        <v>15.4</v>
      </c>
      <c r="P4" s="0" t="n">
        <v>15.5</v>
      </c>
      <c r="Q4" s="0" t="n">
        <v>15.5</v>
      </c>
      <c r="R4" s="0" t="n">
        <v>15.5</v>
      </c>
      <c r="S4" s="0" t="n">
        <v>15.5</v>
      </c>
      <c r="T4" s="0" t="n">
        <v>15.5</v>
      </c>
      <c r="U4" s="0" t="n">
        <v>15.5</v>
      </c>
      <c r="V4" s="0" t="n">
        <v>15.5</v>
      </c>
      <c r="W4" s="0" t="n">
        <v>15.4</v>
      </c>
      <c r="X4" s="0" t="n">
        <v>15.4</v>
      </c>
      <c r="Y4" s="0" t="n">
        <v>15.4</v>
      </c>
      <c r="Z4" s="0" t="n">
        <v>15.4</v>
      </c>
      <c r="AA4" s="0" t="n">
        <v>15.4</v>
      </c>
    </row>
    <row r="5">
      <c r="B5" s="39" t="inlineStr">
        <is>
          <t>V+ Mon [V]</t>
        </is>
      </c>
      <c r="C5" s="0" t="n">
        <v>43.5</v>
      </c>
      <c r="D5" s="0" t="n">
        <v>43.4</v>
      </c>
      <c r="E5" s="0" t="n">
        <v>43.5</v>
      </c>
      <c r="F5" s="0" t="n">
        <v>43.4</v>
      </c>
      <c r="G5" s="0" t="n">
        <v>43.5</v>
      </c>
      <c r="H5" s="0" t="n">
        <v>43.4</v>
      </c>
      <c r="I5" s="0" t="n">
        <v>43.5</v>
      </c>
      <c r="J5" s="0" t="n">
        <v>43.5</v>
      </c>
      <c r="K5" s="0" t="n">
        <v>43.5</v>
      </c>
      <c r="L5" s="0" t="n">
        <v>43.5</v>
      </c>
      <c r="M5" s="0" t="n">
        <v>43.4</v>
      </c>
      <c r="N5" s="0" t="n">
        <v>43.5</v>
      </c>
      <c r="O5" s="0" t="n">
        <v>43.5</v>
      </c>
      <c r="P5" s="0" t="n">
        <v>43.4</v>
      </c>
      <c r="Q5" s="0" t="n">
        <v>43.4</v>
      </c>
      <c r="R5" s="0" t="n">
        <v>43.4</v>
      </c>
      <c r="S5" s="0" t="n">
        <v>43.4</v>
      </c>
      <c r="T5" s="0" t="n">
        <v>43.4</v>
      </c>
      <c r="U5" s="0" t="n">
        <v>43.4</v>
      </c>
      <c r="V5" s="0" t="n">
        <v>43.4</v>
      </c>
      <c r="W5" s="0" t="n">
        <v>43.5</v>
      </c>
      <c r="X5" s="0" t="n">
        <v>43.5</v>
      </c>
      <c r="Y5" s="0" t="n">
        <v>43.5</v>
      </c>
      <c r="Z5" s="0" t="n">
        <v>43.5</v>
      </c>
      <c r="AA5" s="0" t="n">
        <v>43.5</v>
      </c>
    </row>
    <row r="6">
      <c r="B6" s="39" t="inlineStr">
        <is>
          <t>I DC [A]</t>
        </is>
      </c>
      <c r="C6" s="0" t="n">
        <v>85.5</v>
      </c>
      <c r="D6" s="0" t="n">
        <v>85.40000000000001</v>
      </c>
      <c r="E6" s="0" t="n">
        <v>85.40000000000001</v>
      </c>
      <c r="F6" s="0" t="n">
        <v>85.8</v>
      </c>
      <c r="G6" s="0" t="n">
        <v>85.59999999999999</v>
      </c>
      <c r="H6" s="0" t="n">
        <v>86</v>
      </c>
      <c r="I6" s="0" t="n">
        <v>85.7</v>
      </c>
      <c r="J6" s="0" t="n">
        <v>85.59999999999999</v>
      </c>
      <c r="K6" s="0" t="n">
        <v>85.5</v>
      </c>
      <c r="L6" s="0" t="n">
        <v>85.3</v>
      </c>
      <c r="M6" s="0" t="n">
        <v>85.59999999999999</v>
      </c>
      <c r="N6" s="0" t="n">
        <v>85.40000000000001</v>
      </c>
      <c r="O6" s="0" t="n">
        <v>85</v>
      </c>
      <c r="P6" s="0" t="n">
        <v>85.59999999999999</v>
      </c>
      <c r="Q6" s="0" t="n">
        <v>85.59999999999999</v>
      </c>
      <c r="R6" s="0" t="n">
        <v>85.7</v>
      </c>
      <c r="S6" s="0" t="n">
        <v>85.7</v>
      </c>
      <c r="T6" s="0" t="n">
        <v>85.8</v>
      </c>
      <c r="U6" s="0" t="n">
        <v>85.7</v>
      </c>
      <c r="V6" s="0" t="n">
        <v>85.7</v>
      </c>
      <c r="W6" s="0" t="n">
        <v>85.40000000000001</v>
      </c>
      <c r="X6" s="0" t="n">
        <v>85</v>
      </c>
      <c r="Y6" s="0" t="n">
        <v>85</v>
      </c>
      <c r="Z6" s="0" t="n">
        <v>84.8</v>
      </c>
      <c r="AA6" s="0" t="n">
        <v>85.09999999999999</v>
      </c>
    </row>
    <row r="7">
      <c r="B7" s="39" t="inlineStr">
        <is>
          <t>I Pre [A]</t>
        </is>
      </c>
      <c r="C7" s="0" t="n">
        <v>1.59</v>
      </c>
      <c r="D7" s="0" t="n">
        <v>1.61</v>
      </c>
      <c r="E7" s="0" t="n">
        <v>1.6</v>
      </c>
      <c r="F7" s="0" t="n">
        <v>1.62</v>
      </c>
      <c r="G7" s="0" t="n">
        <v>1.6</v>
      </c>
      <c r="H7" s="0" t="n">
        <v>1.64</v>
      </c>
      <c r="I7" s="0" t="n">
        <v>1.61</v>
      </c>
      <c r="J7" s="0" t="n">
        <v>1.6</v>
      </c>
      <c r="K7" s="0" t="n">
        <v>1.59</v>
      </c>
      <c r="L7" s="0" t="n">
        <v>1.59</v>
      </c>
      <c r="M7" s="0" t="n">
        <v>1.61</v>
      </c>
      <c r="N7" s="0" t="n">
        <v>1.58</v>
      </c>
      <c r="O7" s="0" t="n">
        <v>1.56</v>
      </c>
      <c r="P7" s="0" t="n">
        <v>1.6</v>
      </c>
      <c r="Q7" s="0" t="n">
        <v>1.62</v>
      </c>
      <c r="R7" s="0" t="n">
        <v>1.63</v>
      </c>
      <c r="S7" s="0" t="n">
        <v>1.62</v>
      </c>
      <c r="T7" s="0" t="n">
        <v>1.63</v>
      </c>
      <c r="U7" s="0" t="n">
        <v>1.63</v>
      </c>
      <c r="V7" s="0" t="n">
        <v>1.63</v>
      </c>
      <c r="W7" s="0" t="n">
        <v>1.6</v>
      </c>
      <c r="X7" s="0" t="n">
        <v>1.58</v>
      </c>
      <c r="Y7" s="0" t="n">
        <v>1.58</v>
      </c>
      <c r="Z7" s="0" t="n">
        <v>1.57</v>
      </c>
      <c r="AA7" s="0" t="n">
        <v>1.59</v>
      </c>
    </row>
    <row r="8">
      <c r="B8" s="39" t="inlineStr">
        <is>
          <t>V5V ACB [V]</t>
        </is>
      </c>
      <c r="C8" s="0" t="n">
        <v>5.21</v>
      </c>
      <c r="D8" s="0" t="n">
        <v>5.2</v>
      </c>
      <c r="E8" s="0" t="n">
        <v>5.21</v>
      </c>
      <c r="F8" s="0" t="n">
        <v>5.2</v>
      </c>
      <c r="G8" s="0" t="n">
        <v>5.21</v>
      </c>
      <c r="H8" s="0" t="n">
        <v>5.2</v>
      </c>
      <c r="I8" s="0" t="n">
        <v>5.21</v>
      </c>
      <c r="J8" s="0" t="n">
        <v>5.21</v>
      </c>
      <c r="K8" s="0" t="n">
        <v>5.21</v>
      </c>
      <c r="L8" s="0" t="n">
        <v>5.21</v>
      </c>
      <c r="M8" s="0" t="n">
        <v>5.2</v>
      </c>
      <c r="N8" s="0" t="n">
        <v>5.22</v>
      </c>
      <c r="O8" s="0" t="n">
        <v>5.22</v>
      </c>
      <c r="P8" s="0" t="n">
        <v>5.21</v>
      </c>
      <c r="Q8" s="0" t="n">
        <v>5.2</v>
      </c>
      <c r="R8" s="0" t="n">
        <v>5.2</v>
      </c>
      <c r="S8" s="0" t="n">
        <v>5.2</v>
      </c>
      <c r="T8" s="0" t="n">
        <v>5.2</v>
      </c>
      <c r="U8" s="0" t="n">
        <v>5.2</v>
      </c>
      <c r="V8" s="0" t="n">
        <v>5.2</v>
      </c>
      <c r="W8" s="0" t="n">
        <v>5.21</v>
      </c>
      <c r="X8" s="0" t="n">
        <v>5.21</v>
      </c>
      <c r="Y8" s="0" t="n">
        <v>5.21</v>
      </c>
      <c r="Z8" s="0" t="n">
        <v>5.21</v>
      </c>
      <c r="AA8" s="0" t="n">
        <v>5.21</v>
      </c>
    </row>
    <row r="9">
      <c r="B9" s="39" t="inlineStr">
        <is>
          <t>V 3V5 [V]</t>
        </is>
      </c>
      <c r="C9" s="0" t="n">
        <v>3.44</v>
      </c>
      <c r="D9" s="0" t="n">
        <v>3.43</v>
      </c>
      <c r="E9" s="0" t="n">
        <v>3.43</v>
      </c>
      <c r="F9" s="0" t="n">
        <v>3.43</v>
      </c>
      <c r="G9" s="0" t="n">
        <v>3.43</v>
      </c>
      <c r="H9" s="0" t="n">
        <v>3.43</v>
      </c>
      <c r="I9" s="0" t="n">
        <v>3.43</v>
      </c>
      <c r="J9" s="0" t="n">
        <v>3.43</v>
      </c>
      <c r="K9" s="0" t="n">
        <v>3.43</v>
      </c>
      <c r="L9" s="0" t="n">
        <v>3.43</v>
      </c>
      <c r="M9" s="0" t="n">
        <v>3.43</v>
      </c>
      <c r="N9" s="0" t="n">
        <v>3.44</v>
      </c>
      <c r="O9" s="0" t="n">
        <v>3.44</v>
      </c>
      <c r="P9" s="0" t="n">
        <v>3.43</v>
      </c>
      <c r="Q9" s="0" t="n">
        <v>3.43</v>
      </c>
      <c r="R9" s="0" t="n">
        <v>3.43</v>
      </c>
      <c r="S9" s="0" t="n">
        <v>3.43</v>
      </c>
      <c r="T9" s="0" t="n">
        <v>3.43</v>
      </c>
      <c r="U9" s="0" t="n">
        <v>3.43</v>
      </c>
      <c r="V9" s="0" t="n">
        <v>3.43</v>
      </c>
      <c r="W9" s="0" t="n">
        <v>3.43</v>
      </c>
      <c r="X9" s="0" t="n">
        <v>3.44</v>
      </c>
      <c r="Y9" s="0" t="n">
        <v>3.43</v>
      </c>
      <c r="Z9" s="0" t="n">
        <v>3.44</v>
      </c>
      <c r="AA9" s="0" t="n">
        <v>3.44</v>
      </c>
    </row>
    <row r="10">
      <c r="B10" s="39" t="inlineStr">
        <is>
          <t>V 12Mon [V]</t>
        </is>
      </c>
      <c r="C10" s="0" t="n">
        <v>11.6</v>
      </c>
      <c r="D10" s="0" t="n">
        <v>11.6</v>
      </c>
      <c r="E10" s="0" t="n">
        <v>11.6</v>
      </c>
      <c r="F10" s="0" t="n">
        <v>11.6</v>
      </c>
      <c r="G10" s="0" t="n">
        <v>11.6</v>
      </c>
      <c r="H10" s="0" t="n">
        <v>11.6</v>
      </c>
      <c r="I10" s="0" t="n">
        <v>11.6</v>
      </c>
      <c r="J10" s="0" t="n">
        <v>11.6</v>
      </c>
      <c r="K10" s="0" t="n">
        <v>11.6</v>
      </c>
      <c r="L10" s="0" t="n">
        <v>11.6</v>
      </c>
      <c r="M10" s="0" t="n">
        <v>11.6</v>
      </c>
      <c r="N10" s="0" t="n">
        <v>11.6</v>
      </c>
      <c r="O10" s="0" t="n">
        <v>11.6</v>
      </c>
      <c r="P10" s="0" t="n">
        <v>11.6</v>
      </c>
      <c r="Q10" s="0" t="n">
        <v>11.6</v>
      </c>
      <c r="R10" s="0" t="n">
        <v>11.6</v>
      </c>
      <c r="S10" s="0" t="n">
        <v>11.6</v>
      </c>
      <c r="T10" s="0" t="n">
        <v>11.6</v>
      </c>
      <c r="U10" s="0" t="n">
        <v>11.6</v>
      </c>
      <c r="V10" s="0" t="n">
        <v>11.6</v>
      </c>
      <c r="W10" s="0" t="n">
        <v>11.6</v>
      </c>
      <c r="X10" s="0" t="n">
        <v>11.6</v>
      </c>
      <c r="Y10" s="0" t="n">
        <v>11.6</v>
      </c>
      <c r="Z10" s="0" t="n">
        <v>11.6</v>
      </c>
      <c r="AA10" s="0" t="n">
        <v>11.6</v>
      </c>
    </row>
    <row r="11">
      <c r="B11" s="39" t="inlineStr">
        <is>
          <t>V Pre Mon [V]</t>
        </is>
      </c>
      <c r="C11" s="0" t="n">
        <v>19.5</v>
      </c>
      <c r="D11" s="0" t="n">
        <v>19.5</v>
      </c>
      <c r="E11" s="0" t="n">
        <v>19.5</v>
      </c>
      <c r="F11" s="0" t="n">
        <v>19.5</v>
      </c>
      <c r="G11" s="0" t="n">
        <v>19.5</v>
      </c>
      <c r="H11" s="0" t="n">
        <v>19.5</v>
      </c>
      <c r="I11" s="0" t="n">
        <v>19.5</v>
      </c>
      <c r="J11" s="0" t="n">
        <v>19.5</v>
      </c>
      <c r="K11" s="0" t="n">
        <v>19.5</v>
      </c>
      <c r="L11" s="0" t="n">
        <v>19.5</v>
      </c>
      <c r="M11" s="0" t="n">
        <v>19.5</v>
      </c>
      <c r="N11" s="0" t="n">
        <v>19.5</v>
      </c>
      <c r="O11" s="0" t="n">
        <v>19.5</v>
      </c>
      <c r="P11" s="0" t="n">
        <v>19.5</v>
      </c>
      <c r="Q11" s="0" t="n">
        <v>19.5</v>
      </c>
      <c r="R11" s="0" t="n">
        <v>19.5</v>
      </c>
      <c r="S11" s="0" t="n">
        <v>19.5</v>
      </c>
      <c r="T11" s="0" t="n">
        <v>19.5</v>
      </c>
      <c r="U11" s="0" t="n">
        <v>19.5</v>
      </c>
      <c r="V11" s="0" t="n">
        <v>19.5</v>
      </c>
      <c r="W11" s="0" t="n">
        <v>19.5</v>
      </c>
      <c r="X11" s="0" t="n">
        <v>19.5</v>
      </c>
      <c r="Y11" s="0" t="n">
        <v>19.5</v>
      </c>
      <c r="Z11" s="0" t="n">
        <v>19.5</v>
      </c>
      <c r="AA11" s="0" t="n">
        <v>19.5</v>
      </c>
    </row>
    <row r="12">
      <c r="A12" s="39" t="inlineStr">
        <is>
          <t>Transistors</t>
        </is>
      </c>
      <c r="B12" s="39" t="inlineStr">
        <is>
          <t>I PRE [A]</t>
        </is>
      </c>
      <c r="C12" s="0" t="n">
        <v>1.59</v>
      </c>
      <c r="D12" s="0" t="n">
        <v>1.61</v>
      </c>
      <c r="E12" s="0" t="n">
        <v>1.6</v>
      </c>
      <c r="F12" s="0" t="n">
        <v>1.62</v>
      </c>
      <c r="G12" s="0" t="n">
        <v>1.6</v>
      </c>
      <c r="H12" s="0" t="n">
        <v>1.64</v>
      </c>
      <c r="I12" s="0" t="n">
        <v>1.61</v>
      </c>
      <c r="J12" s="0" t="n">
        <v>1.6</v>
      </c>
      <c r="K12" s="0" t="n">
        <v>1.59</v>
      </c>
      <c r="L12" s="0" t="n">
        <v>1.59</v>
      </c>
      <c r="M12" s="0" t="n">
        <v>1.61</v>
      </c>
      <c r="N12" s="0" t="n">
        <v>1.58</v>
      </c>
      <c r="O12" s="0" t="n">
        <v>1.56</v>
      </c>
      <c r="P12" s="0" t="n">
        <v>1.6</v>
      </c>
      <c r="Q12" s="0" t="n">
        <v>1.62</v>
      </c>
      <c r="R12" s="0" t="n">
        <v>1.63</v>
      </c>
      <c r="S12" s="0" t="n">
        <v>1.62</v>
      </c>
      <c r="T12" s="0" t="n">
        <v>1.63</v>
      </c>
      <c r="U12" s="0" t="n">
        <v>1.63</v>
      </c>
      <c r="V12" s="0" t="n">
        <v>1.63</v>
      </c>
      <c r="W12" s="0" t="n">
        <v>1.6</v>
      </c>
      <c r="X12" s="0" t="n">
        <v>1.58</v>
      </c>
      <c r="Y12" s="0" t="n">
        <v>1.58</v>
      </c>
      <c r="Z12" s="0" t="n">
        <v>1.57</v>
      </c>
      <c r="AA12" s="0" t="n">
        <v>1.59</v>
      </c>
    </row>
    <row r="13">
      <c r="B13" s="39" t="inlineStr">
        <is>
          <t>I DRV [A]</t>
        </is>
      </c>
      <c r="C13" s="0" t="n">
        <v>4.37</v>
      </c>
      <c r="D13" s="0" t="n">
        <v>4.4</v>
      </c>
      <c r="E13" s="0" t="n">
        <v>4.38</v>
      </c>
      <c r="F13" s="0" t="n">
        <v>4.4</v>
      </c>
      <c r="G13" s="0" t="n">
        <v>4.36</v>
      </c>
      <c r="H13" s="0" t="n">
        <v>4.41</v>
      </c>
      <c r="I13" s="0" t="n">
        <v>4.35</v>
      </c>
      <c r="J13" s="0" t="n">
        <v>4.33</v>
      </c>
      <c r="K13" s="0" t="n">
        <v>4.33</v>
      </c>
      <c r="L13" s="0" t="n">
        <v>4.32</v>
      </c>
      <c r="M13" s="0" t="n">
        <v>4.39</v>
      </c>
      <c r="N13" s="0" t="n">
        <v>4.33</v>
      </c>
      <c r="O13" s="0" t="n">
        <v>4.29</v>
      </c>
      <c r="P13" s="0" t="n">
        <v>4.37</v>
      </c>
      <c r="Q13" s="0" t="n">
        <v>4.36</v>
      </c>
      <c r="R13" s="0" t="n">
        <v>4.38</v>
      </c>
      <c r="S13" s="0" t="n">
        <v>4.35</v>
      </c>
      <c r="T13" s="0" t="n">
        <v>4.38</v>
      </c>
      <c r="U13" s="0" t="n">
        <v>4.36</v>
      </c>
      <c r="V13" s="0" t="n">
        <v>4.38</v>
      </c>
      <c r="W13" s="0" t="n">
        <v>4.31</v>
      </c>
      <c r="X13" s="0" t="n">
        <v>4.29</v>
      </c>
      <c r="Y13" s="0" t="n">
        <v>4.29</v>
      </c>
      <c r="Z13" s="0" t="n">
        <v>4.29</v>
      </c>
      <c r="AA13" s="0" t="n">
        <v>4.29</v>
      </c>
    </row>
    <row r="14">
      <c r="B14" s="39" t="inlineStr">
        <is>
          <t>I 1A [A]</t>
        </is>
      </c>
      <c r="C14" s="0" t="n">
        <v>13.49</v>
      </c>
      <c r="D14" s="0" t="n">
        <v>13.53</v>
      </c>
      <c r="E14" s="0" t="n">
        <v>13.52</v>
      </c>
      <c r="F14" s="0" t="n">
        <v>13.6</v>
      </c>
      <c r="G14" s="0" t="n">
        <v>13.56</v>
      </c>
      <c r="H14" s="0" t="n">
        <v>13.65</v>
      </c>
      <c r="I14" s="0" t="n">
        <v>13.57</v>
      </c>
      <c r="J14" s="0" t="n">
        <v>13.56</v>
      </c>
      <c r="K14" s="0" t="n">
        <v>13.52</v>
      </c>
      <c r="L14" s="0" t="n">
        <v>13.49</v>
      </c>
      <c r="M14" s="0" t="n">
        <v>13.54</v>
      </c>
      <c r="N14" s="0" t="n">
        <v>13.49</v>
      </c>
      <c r="O14" s="0" t="n">
        <v>13.41</v>
      </c>
      <c r="P14" s="0" t="n">
        <v>13.53</v>
      </c>
      <c r="Q14" s="0" t="n">
        <v>13.56</v>
      </c>
      <c r="R14" s="0" t="n">
        <v>13.57</v>
      </c>
      <c r="S14" s="0" t="n">
        <v>13.58</v>
      </c>
      <c r="T14" s="0" t="n">
        <v>13.6</v>
      </c>
      <c r="U14" s="0" t="n">
        <v>13.59</v>
      </c>
      <c r="V14" s="0" t="n">
        <v>13.59</v>
      </c>
      <c r="W14" s="0" t="n">
        <v>13.5</v>
      </c>
      <c r="X14" s="0" t="n">
        <v>13.45</v>
      </c>
      <c r="Y14" s="0" t="n">
        <v>13.43</v>
      </c>
      <c r="Z14" s="0" t="n">
        <v>13.39</v>
      </c>
      <c r="AA14" s="0" t="n">
        <v>13.44</v>
      </c>
    </row>
    <row r="15">
      <c r="B15" s="39" t="inlineStr">
        <is>
          <t>I 2A [A]</t>
        </is>
      </c>
      <c r="C15" s="0" t="n">
        <v>13.2</v>
      </c>
      <c r="D15" s="0" t="n">
        <v>13.2</v>
      </c>
      <c r="E15" s="0" t="n">
        <v>13.2</v>
      </c>
      <c r="F15" s="0" t="n">
        <v>13.27</v>
      </c>
      <c r="G15" s="0" t="n">
        <v>13.24</v>
      </c>
      <c r="H15" s="0" t="n">
        <v>13.3</v>
      </c>
      <c r="I15" s="0" t="n">
        <v>13.24</v>
      </c>
      <c r="J15" s="0" t="n">
        <v>13.23</v>
      </c>
      <c r="K15" s="0" t="n">
        <v>13.21</v>
      </c>
      <c r="L15" s="0" t="n">
        <v>13.17</v>
      </c>
      <c r="M15" s="0" t="n">
        <v>13.22</v>
      </c>
      <c r="N15" s="0" t="n">
        <v>13.17</v>
      </c>
      <c r="O15" s="0" t="n">
        <v>13.12</v>
      </c>
      <c r="P15" s="0" t="n">
        <v>13.22</v>
      </c>
      <c r="Q15" s="0" t="n">
        <v>13.25</v>
      </c>
      <c r="R15" s="0" t="n">
        <v>13.26</v>
      </c>
      <c r="S15" s="0" t="n">
        <v>13.26</v>
      </c>
      <c r="T15" s="0" t="n">
        <v>13.27</v>
      </c>
      <c r="U15" s="0" t="n">
        <v>13.26</v>
      </c>
      <c r="V15" s="0" t="n">
        <v>13.26</v>
      </c>
      <c r="W15" s="0" t="n">
        <v>13.18</v>
      </c>
      <c r="X15" s="0" t="n">
        <v>13.14</v>
      </c>
      <c r="Y15" s="0" t="n">
        <v>13.14</v>
      </c>
      <c r="Z15" s="0" t="n">
        <v>13.12</v>
      </c>
      <c r="AA15" s="0" t="n">
        <v>13.14</v>
      </c>
    </row>
    <row r="16">
      <c r="B16" s="39" t="inlineStr">
        <is>
          <t>I 3A [A]</t>
        </is>
      </c>
      <c r="C16" s="0" t="n">
        <v>12.11</v>
      </c>
      <c r="D16" s="0" t="n">
        <v>12.08</v>
      </c>
      <c r="E16" s="0" t="n">
        <v>12.09</v>
      </c>
      <c r="F16" s="0" t="n">
        <v>12.12</v>
      </c>
      <c r="G16" s="0" t="n">
        <v>12.12</v>
      </c>
      <c r="H16" s="0" t="n">
        <v>12.13</v>
      </c>
      <c r="I16" s="0" t="n">
        <v>12.14</v>
      </c>
      <c r="J16" s="0" t="n">
        <v>12.13</v>
      </c>
      <c r="K16" s="0" t="n">
        <v>12.12</v>
      </c>
      <c r="L16" s="0" t="n">
        <v>12.09</v>
      </c>
      <c r="M16" s="0" t="n">
        <v>12.1</v>
      </c>
      <c r="N16" s="0" t="n">
        <v>12.09</v>
      </c>
      <c r="O16" s="0" t="n">
        <v>12.08</v>
      </c>
      <c r="P16" s="0" t="n">
        <v>12.11</v>
      </c>
      <c r="Q16" s="0" t="n">
        <v>12.1</v>
      </c>
      <c r="R16" s="0" t="n">
        <v>12.11</v>
      </c>
      <c r="S16" s="0" t="n">
        <v>12.12</v>
      </c>
      <c r="T16" s="0" t="n">
        <v>12.12</v>
      </c>
      <c r="U16" s="0" t="n">
        <v>12.12</v>
      </c>
      <c r="V16" s="0" t="n">
        <v>12.11</v>
      </c>
      <c r="W16" s="0" t="n">
        <v>12.08</v>
      </c>
      <c r="X16" s="0" t="n">
        <v>12.07</v>
      </c>
      <c r="Y16" s="0" t="n">
        <v>12.04</v>
      </c>
      <c r="Z16" s="0" t="n">
        <v>12.04</v>
      </c>
      <c r="AA16" s="0" t="n">
        <v>12.06</v>
      </c>
    </row>
    <row r="17">
      <c r="B17" s="39" t="inlineStr">
        <is>
          <t>I 1B [A]</t>
        </is>
      </c>
      <c r="C17" s="0" t="n">
        <v>13.07</v>
      </c>
      <c r="D17" s="0" t="n">
        <v>13.06</v>
      </c>
      <c r="E17" s="0" t="n">
        <v>13.04</v>
      </c>
      <c r="F17" s="0" t="n">
        <v>13.12</v>
      </c>
      <c r="G17" s="0" t="n">
        <v>13.09</v>
      </c>
      <c r="H17" s="0" t="n">
        <v>13.15</v>
      </c>
      <c r="I17" s="0" t="n">
        <v>13.11</v>
      </c>
      <c r="J17" s="0" t="n">
        <v>13.1</v>
      </c>
      <c r="K17" s="0" t="n">
        <v>13.08</v>
      </c>
      <c r="L17" s="0" t="n">
        <v>13.05</v>
      </c>
      <c r="M17" s="0" t="n">
        <v>13.11</v>
      </c>
      <c r="N17" s="0" t="n">
        <v>13.04</v>
      </c>
      <c r="O17" s="0" t="n">
        <v>13</v>
      </c>
      <c r="P17" s="0" t="n">
        <v>13.11</v>
      </c>
      <c r="Q17" s="0" t="n">
        <v>13.12</v>
      </c>
      <c r="R17" s="0" t="n">
        <v>13.14</v>
      </c>
      <c r="S17" s="0" t="n">
        <v>13.15</v>
      </c>
      <c r="T17" s="0" t="n">
        <v>13.16</v>
      </c>
      <c r="U17" s="0" t="n">
        <v>13.16</v>
      </c>
      <c r="V17" s="0" t="n">
        <v>13.15</v>
      </c>
      <c r="W17" s="0" t="n">
        <v>13.07</v>
      </c>
      <c r="X17" s="0" t="n">
        <v>13.01</v>
      </c>
      <c r="Y17" s="0" t="n">
        <v>13.02</v>
      </c>
      <c r="Z17" s="0" t="n">
        <v>13</v>
      </c>
      <c r="AA17" s="0" t="n">
        <v>13.02</v>
      </c>
    </row>
    <row r="18">
      <c r="B18" s="39" t="inlineStr">
        <is>
          <t>I 2B [A]</t>
        </is>
      </c>
      <c r="C18" s="0" t="n">
        <v>13.34</v>
      </c>
      <c r="D18" s="0" t="n">
        <v>13.34</v>
      </c>
      <c r="E18" s="0" t="n">
        <v>13.33</v>
      </c>
      <c r="F18" s="0" t="n">
        <v>13.43</v>
      </c>
      <c r="G18" s="0" t="n">
        <v>13.38</v>
      </c>
      <c r="H18" s="0" t="n">
        <v>13.48</v>
      </c>
      <c r="I18" s="0" t="n">
        <v>13.41</v>
      </c>
      <c r="J18" s="0" t="n">
        <v>13.4</v>
      </c>
      <c r="K18" s="0" t="n">
        <v>13.36</v>
      </c>
      <c r="L18" s="0" t="n">
        <v>13.33</v>
      </c>
      <c r="M18" s="0" t="n">
        <v>13.39</v>
      </c>
      <c r="N18" s="0" t="n">
        <v>13.32</v>
      </c>
      <c r="O18" s="0" t="n">
        <v>13.26</v>
      </c>
      <c r="P18" s="0" t="n">
        <v>13.39</v>
      </c>
      <c r="Q18" s="0" t="n">
        <v>13.41</v>
      </c>
      <c r="R18" s="0" t="n">
        <v>13.44</v>
      </c>
      <c r="S18" s="0" t="n">
        <v>13.43</v>
      </c>
      <c r="T18" s="0" t="n">
        <v>13.45</v>
      </c>
      <c r="U18" s="0" t="n">
        <v>13.45</v>
      </c>
      <c r="V18" s="0" t="n">
        <v>13.45</v>
      </c>
      <c r="W18" s="0" t="n">
        <v>13.34</v>
      </c>
      <c r="X18" s="0" t="n">
        <v>13.28</v>
      </c>
      <c r="Y18" s="0" t="n">
        <v>13.28</v>
      </c>
      <c r="Z18" s="0" t="n">
        <v>13.24</v>
      </c>
      <c r="AA18" s="0" t="n">
        <v>13.29</v>
      </c>
    </row>
    <row r="19">
      <c r="B19" s="39" t="inlineStr">
        <is>
          <t>I 3B [A]</t>
        </is>
      </c>
      <c r="C19" s="0" t="n">
        <v>13.56</v>
      </c>
      <c r="D19" s="0" t="n">
        <v>13.6</v>
      </c>
      <c r="E19" s="0" t="n">
        <v>13.57</v>
      </c>
      <c r="F19" s="0" t="n">
        <v>13.69</v>
      </c>
      <c r="G19" s="0" t="n">
        <v>13.6</v>
      </c>
      <c r="H19" s="0" t="n">
        <v>13.74</v>
      </c>
      <c r="I19" s="0" t="n">
        <v>13.63</v>
      </c>
      <c r="J19" s="0" t="n">
        <v>13.61</v>
      </c>
      <c r="K19" s="0" t="n">
        <v>13.58</v>
      </c>
      <c r="L19" s="0" t="n">
        <v>13.56</v>
      </c>
      <c r="M19" s="0" t="n">
        <v>13.65</v>
      </c>
      <c r="N19" s="0" t="n">
        <v>13.53</v>
      </c>
      <c r="O19" s="0" t="n">
        <v>13.45</v>
      </c>
      <c r="P19" s="0" t="n">
        <v>13.64</v>
      </c>
      <c r="Q19" s="0" t="n">
        <v>13.67</v>
      </c>
      <c r="R19" s="0" t="n">
        <v>13.69</v>
      </c>
      <c r="S19" s="0" t="n">
        <v>13.69</v>
      </c>
      <c r="T19" s="0" t="n">
        <v>13.71</v>
      </c>
      <c r="U19" s="0" t="n">
        <v>13.71</v>
      </c>
      <c r="V19" s="0" t="n">
        <v>13.71</v>
      </c>
      <c r="W19" s="0" t="n">
        <v>13.59</v>
      </c>
      <c r="X19" s="0" t="n">
        <v>13.52</v>
      </c>
      <c r="Y19" s="0" t="n">
        <v>13.53</v>
      </c>
      <c r="Z19" s="0" t="n">
        <v>13.49</v>
      </c>
      <c r="AA19" s="0" t="n">
        <v>13.52</v>
      </c>
    </row>
    <row r="20">
      <c r="A20" s="39" t="inlineStr">
        <is>
          <t>RF Levels</t>
        </is>
      </c>
      <c r="B20" s="39" t="inlineStr">
        <is>
          <t>Power A [V]</t>
        </is>
      </c>
      <c r="C20" s="0" t="n">
        <v>3.97</v>
      </c>
      <c r="D20" s="0" t="n">
        <v>3.96</v>
      </c>
      <c r="E20" s="0" t="n">
        <v>3.95</v>
      </c>
      <c r="F20" s="0" t="n">
        <v>3.96</v>
      </c>
      <c r="G20" s="0" t="n">
        <v>3.96</v>
      </c>
      <c r="H20" s="0" t="n">
        <v>3.95</v>
      </c>
      <c r="I20" s="0" t="n">
        <v>3.96</v>
      </c>
      <c r="J20" s="0" t="n">
        <v>3.96</v>
      </c>
      <c r="K20" s="0" t="n">
        <v>3.96</v>
      </c>
      <c r="L20" s="0" t="n">
        <v>3.96</v>
      </c>
      <c r="M20" s="0" t="n">
        <v>3.96</v>
      </c>
      <c r="N20" s="0" t="n">
        <v>3.97</v>
      </c>
      <c r="O20" s="0" t="n">
        <v>3.97</v>
      </c>
      <c r="P20" s="0" t="n">
        <v>3.97</v>
      </c>
      <c r="Q20" s="0" t="n">
        <v>3.96</v>
      </c>
      <c r="R20" s="0" t="n">
        <v>3.95</v>
      </c>
      <c r="S20" s="0" t="n">
        <v>3.96</v>
      </c>
      <c r="T20" s="0" t="n">
        <v>3.95</v>
      </c>
      <c r="U20" s="0" t="n">
        <v>3.95</v>
      </c>
      <c r="V20" s="0" t="n">
        <v>3.95</v>
      </c>
      <c r="W20" s="0" t="n">
        <v>3.95</v>
      </c>
      <c r="X20" s="0" t="n">
        <v>3.96</v>
      </c>
      <c r="Y20" s="0" t="n">
        <v>3.97</v>
      </c>
      <c r="Z20" s="0" t="n">
        <v>3.97</v>
      </c>
      <c r="AA20" s="0" t="n">
        <v>3.96</v>
      </c>
    </row>
    <row r="21">
      <c r="B21" s="39" t="inlineStr">
        <is>
          <t>Power B [V]</t>
        </is>
      </c>
      <c r="C21" s="0" t="n">
        <v>4.04</v>
      </c>
      <c r="D21" s="0" t="n">
        <v>4.04</v>
      </c>
      <c r="E21" s="0" t="n">
        <v>4.04</v>
      </c>
      <c r="F21" s="0" t="n">
        <v>4.04</v>
      </c>
      <c r="G21" s="0" t="n">
        <v>4.04</v>
      </c>
      <c r="H21" s="0" t="n">
        <v>4.04</v>
      </c>
      <c r="I21" s="0" t="n">
        <v>4.04</v>
      </c>
      <c r="J21" s="0" t="n">
        <v>4.04</v>
      </c>
      <c r="K21" s="0" t="n">
        <v>4.04</v>
      </c>
      <c r="L21" s="0" t="n">
        <v>4.04</v>
      </c>
      <c r="M21" s="0" t="n">
        <v>4.04</v>
      </c>
      <c r="N21" s="0" t="n">
        <v>4.04</v>
      </c>
      <c r="O21" s="0" t="n">
        <v>4.04</v>
      </c>
      <c r="P21" s="0" t="n">
        <v>4.04</v>
      </c>
      <c r="Q21" s="0" t="n">
        <v>4.04</v>
      </c>
      <c r="R21" s="0" t="n">
        <v>4.04</v>
      </c>
      <c r="S21" s="0" t="n">
        <v>4.04</v>
      </c>
      <c r="T21" s="0" t="n">
        <v>4.04</v>
      </c>
      <c r="U21" s="0" t="n">
        <v>4.04</v>
      </c>
      <c r="V21" s="0" t="n">
        <v>4.04</v>
      </c>
      <c r="W21" s="0" t="n">
        <v>4.04</v>
      </c>
      <c r="X21" s="0" t="n">
        <v>4.04</v>
      </c>
      <c r="Y21" s="0" t="n">
        <v>4.04</v>
      </c>
      <c r="Z21" s="0" t="n">
        <v>4.04</v>
      </c>
      <c r="AA21" s="0" t="n">
        <v>4.04</v>
      </c>
    </row>
    <row r="22">
      <c r="B22" s="39" t="inlineStr">
        <is>
          <t>Power V Ref [V]</t>
        </is>
      </c>
      <c r="C22" s="0" t="n">
        <v>4.05</v>
      </c>
      <c r="D22" s="0" t="n">
        <v>4.05</v>
      </c>
      <c r="E22" s="0" t="n">
        <v>4.05</v>
      </c>
      <c r="F22" s="0" t="n">
        <v>4.05</v>
      </c>
      <c r="G22" s="0" t="n">
        <v>4.05</v>
      </c>
      <c r="H22" s="0" t="n">
        <v>4.05</v>
      </c>
      <c r="I22" s="0" t="n">
        <v>4.05</v>
      </c>
      <c r="J22" s="0" t="n">
        <v>4.05</v>
      </c>
      <c r="K22" s="0" t="n">
        <v>4.05</v>
      </c>
      <c r="L22" s="0" t="n">
        <v>4.05</v>
      </c>
      <c r="M22" s="0" t="n">
        <v>4.05</v>
      </c>
      <c r="N22" s="0" t="n">
        <v>4.05</v>
      </c>
      <c r="O22" s="0" t="n">
        <v>4.05</v>
      </c>
      <c r="P22" s="0" t="n">
        <v>4.05</v>
      </c>
      <c r="Q22" s="0" t="n">
        <v>4.05</v>
      </c>
      <c r="R22" s="0" t="n">
        <v>4.05</v>
      </c>
      <c r="S22" s="0" t="n">
        <v>4.05</v>
      </c>
      <c r="T22" s="0" t="n">
        <v>4.05</v>
      </c>
      <c r="U22" s="0" t="n">
        <v>4.05</v>
      </c>
      <c r="V22" s="0" t="n">
        <v>4.05</v>
      </c>
      <c r="W22" s="0" t="n">
        <v>4.05</v>
      </c>
      <c r="X22" s="0" t="n">
        <v>4.05</v>
      </c>
      <c r="Y22" s="0" t="n">
        <v>4.05</v>
      </c>
      <c r="Z22" s="0" t="n">
        <v>4.05</v>
      </c>
      <c r="AA22" s="0" t="n">
        <v>4.05</v>
      </c>
    </row>
    <row r="23">
      <c r="B23" s="39" t="inlineStr">
        <is>
          <t>Power Out [V]</t>
        </is>
      </c>
      <c r="C23" s="0" t="n">
        <v>4.06</v>
      </c>
      <c r="D23" s="0" t="n">
        <v>4.04</v>
      </c>
      <c r="E23" s="0" t="n">
        <v>4.05</v>
      </c>
      <c r="F23" s="0" t="n">
        <v>4.05</v>
      </c>
      <c r="G23" s="0" t="n">
        <v>4.06</v>
      </c>
      <c r="H23" s="0" t="n">
        <v>4.05</v>
      </c>
      <c r="I23" s="0" t="n">
        <v>4.06</v>
      </c>
      <c r="J23" s="0" t="n">
        <v>4.06</v>
      </c>
      <c r="K23" s="0" t="n">
        <v>4.06</v>
      </c>
      <c r="L23" s="0" t="n">
        <v>4.06</v>
      </c>
      <c r="M23" s="0" t="n">
        <v>4.05</v>
      </c>
      <c r="N23" s="0" t="n">
        <v>4.06</v>
      </c>
      <c r="O23" s="0" t="n">
        <v>4.07</v>
      </c>
      <c r="P23" s="0" t="n">
        <v>4.06</v>
      </c>
      <c r="Q23" s="0" t="n">
        <v>4.05</v>
      </c>
      <c r="R23" s="0" t="n">
        <v>4.05</v>
      </c>
      <c r="S23" s="0" t="n">
        <v>4.05</v>
      </c>
      <c r="T23" s="0" t="n">
        <v>4.05</v>
      </c>
      <c r="U23" s="0" t="n">
        <v>4.05</v>
      </c>
      <c r="V23" s="0" t="n">
        <v>4.05</v>
      </c>
      <c r="W23" s="0" t="n">
        <v>4.05</v>
      </c>
      <c r="X23" s="0" t="n">
        <v>4.06</v>
      </c>
      <c r="Y23" s="0" t="n">
        <v>4.05</v>
      </c>
      <c r="Z23" s="0" t="n">
        <v>4.06</v>
      </c>
      <c r="AA23" s="0" t="n">
        <v>4.05</v>
      </c>
    </row>
    <row r="24">
      <c r="B24" s="39" t="inlineStr">
        <is>
          <t>Reflected Out [V]</t>
        </is>
      </c>
      <c r="C24" s="0" t="n">
        <v>1.18</v>
      </c>
      <c r="D24" s="0" t="n">
        <v>1.23</v>
      </c>
      <c r="E24" s="0" t="n">
        <v>1.16</v>
      </c>
      <c r="F24" s="0" t="n">
        <v>1.24</v>
      </c>
      <c r="G24" s="0" t="n">
        <v>1.19</v>
      </c>
      <c r="H24" s="0" t="n">
        <v>1.21</v>
      </c>
      <c r="I24" s="0" t="n">
        <v>1.18</v>
      </c>
      <c r="J24" s="0" t="n">
        <v>1.21</v>
      </c>
      <c r="K24" s="0" t="n">
        <v>1.21</v>
      </c>
      <c r="L24" s="0" t="n">
        <v>1.21</v>
      </c>
      <c r="M24" s="0" t="n">
        <v>1.24</v>
      </c>
      <c r="N24" s="0" t="n">
        <v>1.19</v>
      </c>
      <c r="O24" s="0" t="n">
        <v>1.22</v>
      </c>
      <c r="P24" s="0" t="n">
        <v>1.27</v>
      </c>
      <c r="Q24" s="0" t="n">
        <v>1.24</v>
      </c>
      <c r="R24" s="0" t="n">
        <v>1.23</v>
      </c>
      <c r="S24" s="0" t="n">
        <v>1.24</v>
      </c>
      <c r="T24" s="0" t="n">
        <v>1.25</v>
      </c>
      <c r="U24" s="0" t="n">
        <v>1.24</v>
      </c>
      <c r="V24" s="0" t="n">
        <v>1.23</v>
      </c>
      <c r="W24" s="0" t="n">
        <v>1.17</v>
      </c>
      <c r="X24" s="0" t="n">
        <v>1.17</v>
      </c>
      <c r="Y24" s="0" t="n">
        <v>1.27</v>
      </c>
      <c r="Z24" s="0" t="n">
        <v>1.32</v>
      </c>
      <c r="AA24" s="0" t="n">
        <v>1.19</v>
      </c>
    </row>
  </sheetData>
  <pageMargins left="0.6997222304344177" right="0.6997222304344177" top="0.75" bottom="0.75" header="0.300000011920929" footer="0.300000011920929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M24"/>
  <sheetViews>
    <sheetView zoomScaleNormal="100" zoomScaleSheetLayoutView="100" workbookViewId="0">
      <selection activeCell="P15" sqref="P15"/>
    </sheetView>
  </sheetViews>
  <sheetFormatPr baseColWidth="8" defaultColWidth="8.625" defaultRowHeight="16.5"/>
  <cols>
    <col width="10.375" bestFit="1" customWidth="1" style="55" min="1" max="1"/>
    <col width="17.125" bestFit="1" customWidth="1" style="55" min="2" max="2"/>
    <col width="11" bestFit="1" customWidth="1" style="55" min="3" max="10"/>
    <col width="12.125" bestFit="1" customWidth="1" style="55" min="11" max="13"/>
  </cols>
  <sheetData>
    <row r="1">
      <c r="A1" s="40" t="inlineStr">
        <is>
          <t>D1TV TX-1 AMP2</t>
        </is>
      </c>
    </row>
    <row r="2">
      <c r="C2" s="82" t="n">
        <v>44228</v>
      </c>
      <c r="D2" s="82" t="n">
        <v>44256</v>
      </c>
      <c r="E2" s="82" t="n">
        <v>44287</v>
      </c>
      <c r="F2" s="82" t="n">
        <v>44317</v>
      </c>
      <c r="G2" s="82" t="n">
        <v>44348</v>
      </c>
      <c r="H2" s="82" t="n">
        <v>44378</v>
      </c>
      <c r="I2" s="82" t="n">
        <v>44409</v>
      </c>
      <c r="J2" s="82" t="n">
        <v>44440</v>
      </c>
      <c r="K2" s="82" t="n">
        <v>44470</v>
      </c>
      <c r="L2" s="82" t="n">
        <v>44501</v>
      </c>
      <c r="M2" s="82" t="n">
        <v>44531</v>
      </c>
    </row>
    <row r="3">
      <c r="A3" s="39" t="inlineStr">
        <is>
          <t>Supply</t>
        </is>
      </c>
      <c r="B3" s="39" t="inlineStr">
        <is>
          <t>AMP Temp [°C]</t>
        </is>
      </c>
      <c r="C3" s="0" t="n">
        <v>32.5</v>
      </c>
      <c r="D3" s="0" t="n">
        <v>39.1</v>
      </c>
      <c r="E3" s="0" t="n">
        <v>37.7</v>
      </c>
      <c r="F3" s="0" t="n">
        <v>41.9</v>
      </c>
      <c r="G3" s="0" t="n">
        <v>37.1</v>
      </c>
      <c r="H3" s="0" t="n">
        <v>47.3</v>
      </c>
      <c r="I3" s="0" t="n">
        <v>38.6</v>
      </c>
      <c r="J3" s="0" t="n">
        <v>37.1</v>
      </c>
      <c r="K3" s="0" t="n">
        <v>35.1</v>
      </c>
      <c r="L3" s="0" t="n">
        <v>33.4</v>
      </c>
      <c r="M3" s="0" t="n">
        <v>39.6</v>
      </c>
    </row>
    <row r="4">
      <c r="B4" s="39" t="inlineStr">
        <is>
          <t>V Aux in [V]</t>
        </is>
      </c>
      <c r="C4" s="0" t="n">
        <v>15.3</v>
      </c>
      <c r="D4" s="0" t="n">
        <v>15.3</v>
      </c>
      <c r="E4" s="0" t="n">
        <v>15.3</v>
      </c>
      <c r="F4" s="0" t="n">
        <v>15.3</v>
      </c>
      <c r="G4" s="0" t="n">
        <v>15.3</v>
      </c>
      <c r="H4" s="0" t="n">
        <v>15.3</v>
      </c>
      <c r="I4" s="0" t="n">
        <v>15.3</v>
      </c>
      <c r="J4" s="0" t="n">
        <v>15.3</v>
      </c>
      <c r="K4" s="0" t="n">
        <v>15.3</v>
      </c>
      <c r="L4" s="0" t="n">
        <v>15.3</v>
      </c>
      <c r="M4" s="0" t="n">
        <v>15.3</v>
      </c>
    </row>
    <row r="5">
      <c r="B5" s="39" t="inlineStr">
        <is>
          <t>V+ Mon [V]</t>
        </is>
      </c>
      <c r="C5" s="0" t="n">
        <v>43.5</v>
      </c>
      <c r="D5" s="0" t="n">
        <v>43.5</v>
      </c>
      <c r="E5" s="0" t="n">
        <v>43.5</v>
      </c>
      <c r="F5" s="0" t="n">
        <v>43.5</v>
      </c>
      <c r="G5" s="0" t="n">
        <v>43.5</v>
      </c>
      <c r="H5" s="0" t="n">
        <v>43.4</v>
      </c>
      <c r="I5" s="0" t="n">
        <v>43.5</v>
      </c>
      <c r="J5" s="0" t="n">
        <v>43.5</v>
      </c>
      <c r="K5" s="0" t="n">
        <v>43.5</v>
      </c>
      <c r="L5" s="0" t="n">
        <v>43.5</v>
      </c>
      <c r="M5" s="0" t="n">
        <v>43.5</v>
      </c>
    </row>
    <row r="6">
      <c r="B6" s="39" t="inlineStr">
        <is>
          <t>I DC [A]</t>
        </is>
      </c>
      <c r="C6" s="0" t="n">
        <v>81.8</v>
      </c>
      <c r="D6" s="0" t="n">
        <v>81.40000000000001</v>
      </c>
      <c r="E6" s="0" t="n">
        <v>81.7</v>
      </c>
      <c r="F6" s="0" t="n">
        <v>81.7</v>
      </c>
      <c r="G6" s="0" t="n">
        <v>82</v>
      </c>
      <c r="H6" s="0" t="n">
        <v>81.90000000000001</v>
      </c>
      <c r="I6" s="0" t="n">
        <v>82</v>
      </c>
      <c r="J6" s="0" t="n">
        <v>82</v>
      </c>
      <c r="K6" s="0" t="n">
        <v>81.8</v>
      </c>
      <c r="L6" s="0" t="n">
        <v>81.7</v>
      </c>
      <c r="M6" s="0" t="n">
        <v>81.59999999999999</v>
      </c>
    </row>
    <row r="7">
      <c r="B7" s="39" t="inlineStr">
        <is>
          <t>I Pre [A]</t>
        </is>
      </c>
      <c r="C7" s="0" t="n">
        <v>1.6</v>
      </c>
      <c r="D7" s="0" t="n">
        <v>1.63</v>
      </c>
      <c r="E7" s="0" t="n">
        <v>1.62</v>
      </c>
      <c r="F7" s="0" t="n">
        <v>1.64</v>
      </c>
      <c r="G7" s="0" t="n">
        <v>1.62</v>
      </c>
      <c r="H7" s="0" t="n">
        <v>1.66</v>
      </c>
      <c r="I7" s="0" t="n">
        <v>1.62</v>
      </c>
      <c r="J7" s="0" t="n">
        <v>1.62</v>
      </c>
      <c r="K7" s="0" t="n">
        <v>1.61</v>
      </c>
      <c r="L7" s="0" t="n">
        <v>1.61</v>
      </c>
      <c r="M7" s="0" t="n">
        <v>1.63</v>
      </c>
    </row>
    <row r="8">
      <c r="B8" s="39" t="inlineStr">
        <is>
          <t>V5V ACB [V]</t>
        </is>
      </c>
      <c r="C8" s="0" t="n">
        <v>5.2</v>
      </c>
      <c r="D8" s="0" t="n">
        <v>5.2</v>
      </c>
      <c r="E8" s="0" t="n">
        <v>5.2</v>
      </c>
      <c r="F8" s="0" t="n">
        <v>5.19</v>
      </c>
      <c r="G8" s="0" t="n">
        <v>5.2</v>
      </c>
      <c r="H8" s="0" t="n">
        <v>5.19</v>
      </c>
      <c r="I8" s="0" t="n">
        <v>5.2</v>
      </c>
      <c r="J8" s="0" t="n">
        <v>5.2</v>
      </c>
      <c r="K8" s="0" t="n">
        <v>5.2</v>
      </c>
      <c r="L8" s="0" t="n">
        <v>5.2</v>
      </c>
      <c r="M8" s="0" t="n">
        <v>5.2</v>
      </c>
    </row>
    <row r="9">
      <c r="B9" s="39" t="inlineStr">
        <is>
          <t>V 3V5 [V]</t>
        </is>
      </c>
      <c r="C9" s="0" t="n">
        <v>3.46</v>
      </c>
      <c r="D9" s="0" t="n">
        <v>3.46</v>
      </c>
      <c r="E9" s="0" t="n">
        <v>3.46</v>
      </c>
      <c r="F9" s="0" t="n">
        <v>3.45</v>
      </c>
      <c r="G9" s="0" t="n">
        <v>3.46</v>
      </c>
      <c r="H9" s="0" t="n">
        <v>3.45</v>
      </c>
      <c r="I9" s="0" t="n">
        <v>3.46</v>
      </c>
      <c r="J9" s="0" t="n">
        <v>3.46</v>
      </c>
      <c r="K9" s="0" t="n">
        <v>3.46</v>
      </c>
      <c r="L9" s="0" t="n">
        <v>3.46</v>
      </c>
      <c r="M9" s="0" t="n">
        <v>3.45</v>
      </c>
    </row>
    <row r="10">
      <c r="B10" s="39" t="inlineStr">
        <is>
          <t>V 12Mon [V]</t>
        </is>
      </c>
      <c r="C10" s="0" t="n">
        <v>11.6</v>
      </c>
      <c r="D10" s="0" t="n">
        <v>11.6</v>
      </c>
      <c r="E10" s="0" t="n">
        <v>11.6</v>
      </c>
      <c r="F10" s="0" t="n">
        <v>11.6</v>
      </c>
      <c r="G10" s="0" t="n">
        <v>11.6</v>
      </c>
      <c r="H10" s="0" t="n">
        <v>11.6</v>
      </c>
      <c r="I10" s="0" t="n">
        <v>11.6</v>
      </c>
      <c r="J10" s="0" t="n">
        <v>11.6</v>
      </c>
      <c r="K10" s="0" t="n">
        <v>11.6</v>
      </c>
      <c r="L10" s="0" t="n">
        <v>11.6</v>
      </c>
      <c r="M10" s="0" t="n">
        <v>11.6</v>
      </c>
    </row>
    <row r="11">
      <c r="B11" s="39" t="inlineStr">
        <is>
          <t>V Pre Mon [V]</t>
        </is>
      </c>
      <c r="C11" s="0" t="n">
        <v>19.6</v>
      </c>
      <c r="D11" s="0" t="n">
        <v>19.6</v>
      </c>
      <c r="E11" s="0" t="n">
        <v>19.6</v>
      </c>
      <c r="F11" s="0" t="n">
        <v>19.6</v>
      </c>
      <c r="G11" s="0" t="n">
        <v>19.6</v>
      </c>
      <c r="H11" s="0" t="n">
        <v>19.6</v>
      </c>
      <c r="I11" s="0" t="n">
        <v>19.6</v>
      </c>
      <c r="J11" s="0" t="n">
        <v>19.6</v>
      </c>
      <c r="K11" s="0" t="n">
        <v>19.6</v>
      </c>
      <c r="L11" s="0" t="n">
        <v>19.6</v>
      </c>
      <c r="M11" s="0" t="n">
        <v>19.6</v>
      </c>
    </row>
    <row r="12">
      <c r="A12" s="39" t="inlineStr">
        <is>
          <t>Transistors</t>
        </is>
      </c>
      <c r="B12" s="39" t="inlineStr">
        <is>
          <t>I PRE [A]</t>
        </is>
      </c>
      <c r="C12" s="0" t="n">
        <v>1.6</v>
      </c>
      <c r="D12" s="0" t="n">
        <v>1.63</v>
      </c>
      <c r="E12" s="0" t="n">
        <v>1.62</v>
      </c>
      <c r="F12" s="0" t="n">
        <v>1.64</v>
      </c>
      <c r="G12" s="0" t="n">
        <v>1.62</v>
      </c>
      <c r="H12" s="0" t="n">
        <v>1.66</v>
      </c>
      <c r="I12" s="0" t="n">
        <v>1.62</v>
      </c>
      <c r="J12" s="0" t="n">
        <v>1.62</v>
      </c>
      <c r="K12" s="0" t="n">
        <v>1.61</v>
      </c>
      <c r="L12" s="0" t="n">
        <v>1.61</v>
      </c>
      <c r="M12" s="0" t="n">
        <v>1.63</v>
      </c>
    </row>
    <row r="13">
      <c r="B13" s="39" t="inlineStr">
        <is>
          <t>I DRV [A]</t>
        </is>
      </c>
      <c r="C13" s="0" t="n">
        <v>4.41</v>
      </c>
      <c r="D13" s="0" t="n">
        <v>4.42</v>
      </c>
      <c r="E13" s="0" t="n">
        <v>4.42</v>
      </c>
      <c r="F13" s="0" t="n">
        <v>4.43</v>
      </c>
      <c r="G13" s="0" t="n">
        <v>4.41</v>
      </c>
      <c r="H13" s="0" t="n">
        <v>4.44</v>
      </c>
      <c r="I13" s="0" t="n">
        <v>4.41</v>
      </c>
      <c r="J13" s="0" t="n">
        <v>4.39</v>
      </c>
      <c r="K13" s="0" t="n">
        <v>4.39</v>
      </c>
      <c r="L13" s="0" t="n">
        <v>4.38</v>
      </c>
      <c r="M13" s="0" t="n">
        <v>4.43</v>
      </c>
    </row>
    <row r="14">
      <c r="B14" s="39" t="inlineStr">
        <is>
          <t>I 1A [A]</t>
        </is>
      </c>
      <c r="C14" s="0" t="n">
        <v>12.4</v>
      </c>
      <c r="D14" s="0" t="n">
        <v>12.34</v>
      </c>
      <c r="E14" s="0" t="n">
        <v>12.38</v>
      </c>
      <c r="F14" s="0" t="n">
        <v>12.4</v>
      </c>
      <c r="G14" s="0" t="n">
        <v>12.42</v>
      </c>
      <c r="H14" s="0" t="n">
        <v>12.43</v>
      </c>
      <c r="I14" s="0" t="n">
        <v>12.43</v>
      </c>
      <c r="J14" s="0" t="n">
        <v>12.42</v>
      </c>
      <c r="K14" s="0" t="n">
        <v>12.39</v>
      </c>
      <c r="L14" s="0" t="n">
        <v>12.37</v>
      </c>
      <c r="M14" s="0" t="n">
        <v>12.39</v>
      </c>
    </row>
    <row r="15">
      <c r="B15" s="39" t="inlineStr">
        <is>
          <t>I 2A [A]</t>
        </is>
      </c>
      <c r="C15" s="0" t="n">
        <v>12.88</v>
      </c>
      <c r="D15" s="0" t="n">
        <v>12.82</v>
      </c>
      <c r="E15" s="0" t="n">
        <v>12.86</v>
      </c>
      <c r="F15" s="0" t="n">
        <v>12.85</v>
      </c>
      <c r="G15" s="0" t="n">
        <v>12.91</v>
      </c>
      <c r="H15" s="0" t="n">
        <v>12.87</v>
      </c>
      <c r="I15" s="0" t="n">
        <v>12.91</v>
      </c>
      <c r="J15" s="0" t="n">
        <v>12.9</v>
      </c>
      <c r="K15" s="0" t="n">
        <v>12.87</v>
      </c>
      <c r="L15" s="0" t="n">
        <v>12.85</v>
      </c>
      <c r="M15" s="0" t="n">
        <v>12.84</v>
      </c>
    </row>
    <row r="16">
      <c r="B16" s="39" t="inlineStr">
        <is>
          <t>I 3A [A]</t>
        </is>
      </c>
      <c r="C16" s="0" t="n">
        <v>11.3</v>
      </c>
      <c r="D16" s="0" t="n">
        <v>11.22</v>
      </c>
      <c r="E16" s="0" t="n">
        <v>11.26</v>
      </c>
      <c r="F16" s="0" t="n">
        <v>11.24</v>
      </c>
      <c r="G16" s="0" t="n">
        <v>11.3</v>
      </c>
      <c r="H16" s="0" t="n">
        <v>11.24</v>
      </c>
      <c r="I16" s="0" t="n">
        <v>11.3</v>
      </c>
      <c r="J16" s="0" t="n">
        <v>11.3</v>
      </c>
      <c r="K16" s="0" t="n">
        <v>11.29</v>
      </c>
      <c r="L16" s="0" t="n">
        <v>11.28</v>
      </c>
      <c r="M16" s="0" t="n">
        <v>11.24</v>
      </c>
    </row>
    <row r="17">
      <c r="B17" s="39" t="inlineStr">
        <is>
          <t>I 1B [A]</t>
        </is>
      </c>
      <c r="C17" s="0" t="n">
        <v>12.4</v>
      </c>
      <c r="D17" s="0" t="n">
        <v>12.33</v>
      </c>
      <c r="E17" s="0" t="n">
        <v>12.38</v>
      </c>
      <c r="F17" s="0" t="n">
        <v>12.36</v>
      </c>
      <c r="G17" s="0" t="n">
        <v>12.43</v>
      </c>
      <c r="H17" s="0" t="n">
        <v>12.38</v>
      </c>
      <c r="I17" s="0" t="n">
        <v>12.43</v>
      </c>
      <c r="J17" s="0" t="n">
        <v>12.42</v>
      </c>
      <c r="K17" s="0" t="n">
        <v>12.39</v>
      </c>
      <c r="L17" s="0" t="n">
        <v>12.38</v>
      </c>
      <c r="M17" s="0" t="n">
        <v>12.36</v>
      </c>
    </row>
    <row r="18">
      <c r="B18" s="39" t="inlineStr">
        <is>
          <t>I 2B [A]</t>
        </is>
      </c>
      <c r="C18" s="0" t="n">
        <v>12.91</v>
      </c>
      <c r="D18" s="0" t="n">
        <v>12.89</v>
      </c>
      <c r="E18" s="0" t="n">
        <v>12.92</v>
      </c>
      <c r="F18" s="0" t="n">
        <v>12.94</v>
      </c>
      <c r="G18" s="0" t="n">
        <v>12.97</v>
      </c>
      <c r="H18" s="0" t="n">
        <v>12.98</v>
      </c>
      <c r="I18" s="0" t="n">
        <v>12.97</v>
      </c>
      <c r="J18" s="0" t="n">
        <v>12.95</v>
      </c>
      <c r="K18" s="0" t="n">
        <v>12.93</v>
      </c>
      <c r="L18" s="0" t="n">
        <v>12.91</v>
      </c>
      <c r="M18" s="0" t="n">
        <v>12.92</v>
      </c>
    </row>
    <row r="19">
      <c r="B19" s="39" t="inlineStr">
        <is>
          <t>I 3B [A]</t>
        </is>
      </c>
      <c r="C19" s="0" t="n">
        <v>13.42</v>
      </c>
      <c r="D19" s="0" t="n">
        <v>13.39</v>
      </c>
      <c r="E19" s="0" t="n">
        <v>13.43</v>
      </c>
      <c r="F19" s="0" t="n">
        <v>13.44</v>
      </c>
      <c r="G19" s="0" t="n">
        <v>13.46</v>
      </c>
      <c r="H19" s="0" t="n">
        <v>13.48</v>
      </c>
      <c r="I19" s="0" t="n">
        <v>13.47</v>
      </c>
      <c r="J19" s="0" t="n">
        <v>13.47</v>
      </c>
      <c r="K19" s="0" t="n">
        <v>13.43</v>
      </c>
      <c r="L19" s="0" t="n">
        <v>13.41</v>
      </c>
      <c r="M19" s="0" t="n">
        <v>13.42</v>
      </c>
    </row>
    <row r="20">
      <c r="A20" s="39" t="inlineStr">
        <is>
          <t>RF Levels</t>
        </is>
      </c>
      <c r="B20" s="39" t="inlineStr">
        <is>
          <t>Power A [V]</t>
        </is>
      </c>
      <c r="C20" s="0" t="n">
        <v>3.9</v>
      </c>
      <c r="D20" s="0" t="n">
        <v>3.87</v>
      </c>
      <c r="E20" s="0" t="n">
        <v>3.89</v>
      </c>
      <c r="F20" s="0" t="n">
        <v>3.87</v>
      </c>
      <c r="G20" s="0" t="n">
        <v>3.9</v>
      </c>
      <c r="H20" s="0" t="n">
        <v>3.87</v>
      </c>
      <c r="I20" s="0" t="n">
        <v>3.89</v>
      </c>
      <c r="J20" s="0" t="n">
        <v>3.89</v>
      </c>
      <c r="K20" s="0" t="n">
        <v>3.89</v>
      </c>
      <c r="L20" s="0" t="n">
        <v>3.89</v>
      </c>
      <c r="M20" s="0" t="n">
        <v>3.87</v>
      </c>
    </row>
    <row r="21">
      <c r="B21" s="39" t="inlineStr">
        <is>
          <t>Power B [V]</t>
        </is>
      </c>
      <c r="C21" s="0" t="n">
        <v>4.04</v>
      </c>
      <c r="D21" s="0" t="n">
        <v>4.04</v>
      </c>
      <c r="E21" s="0" t="n">
        <v>4.04</v>
      </c>
      <c r="F21" s="0" t="n">
        <v>4.04</v>
      </c>
      <c r="G21" s="0" t="n">
        <v>4.04</v>
      </c>
      <c r="H21" s="0" t="n">
        <v>4.04</v>
      </c>
      <c r="I21" s="0" t="n">
        <v>4.04</v>
      </c>
      <c r="J21" s="0" t="n">
        <v>4.04</v>
      </c>
      <c r="K21" s="0" t="n">
        <v>4.04</v>
      </c>
      <c r="L21" s="0" t="n">
        <v>4.04</v>
      </c>
      <c r="M21" s="0" t="n">
        <v>4.04</v>
      </c>
    </row>
    <row r="22">
      <c r="B22" s="39" t="inlineStr">
        <is>
          <t>Power V Ref [V]</t>
        </is>
      </c>
      <c r="C22" s="0" t="n">
        <v>4.05</v>
      </c>
      <c r="D22" s="0" t="n">
        <v>4.05</v>
      </c>
      <c r="E22" s="0" t="n">
        <v>4.05</v>
      </c>
      <c r="F22" s="0" t="n">
        <v>4.05</v>
      </c>
      <c r="G22" s="0" t="n">
        <v>4.05</v>
      </c>
      <c r="H22" s="0" t="n">
        <v>4.05</v>
      </c>
      <c r="I22" s="0" t="n">
        <v>4.05</v>
      </c>
      <c r="J22" s="0" t="n">
        <v>4.05</v>
      </c>
      <c r="K22" s="0" t="n">
        <v>4.05</v>
      </c>
      <c r="L22" s="0" t="n">
        <v>4.05</v>
      </c>
      <c r="M22" s="0" t="n">
        <v>4.05</v>
      </c>
    </row>
    <row r="23">
      <c r="B23" s="39" t="inlineStr">
        <is>
          <t>Power Out [V]</t>
        </is>
      </c>
      <c r="C23" s="0" t="n">
        <v>4.1</v>
      </c>
      <c r="D23" s="0" t="n">
        <v>4.07</v>
      </c>
      <c r="E23" s="0" t="n">
        <v>4.08</v>
      </c>
      <c r="F23" s="0" t="n">
        <v>4.07</v>
      </c>
      <c r="G23" s="0" t="n">
        <v>4.09</v>
      </c>
      <c r="H23" s="0" t="n">
        <v>4.07</v>
      </c>
      <c r="I23" s="0" t="n">
        <v>4.09</v>
      </c>
      <c r="J23" s="0" t="n">
        <v>4.09</v>
      </c>
      <c r="K23" s="0" t="n">
        <v>4.09</v>
      </c>
      <c r="L23" s="0" t="n">
        <v>4.09</v>
      </c>
      <c r="M23" s="0" t="n">
        <v>4.08</v>
      </c>
    </row>
    <row r="24">
      <c r="B24" s="39" t="inlineStr">
        <is>
          <t>Reflected Out [V]</t>
        </is>
      </c>
      <c r="C24" s="0" t="n">
        <v>1.21</v>
      </c>
      <c r="D24" s="0" t="n">
        <v>1.18</v>
      </c>
      <c r="E24" s="0" t="n">
        <v>1.19</v>
      </c>
      <c r="F24" s="0" t="n">
        <v>1.16</v>
      </c>
      <c r="G24" s="0" t="n">
        <v>1.24</v>
      </c>
      <c r="H24" s="0" t="n">
        <v>1.14</v>
      </c>
      <c r="I24" s="0" t="n">
        <v>1.23</v>
      </c>
      <c r="J24" s="0" t="n">
        <v>1.27</v>
      </c>
      <c r="K24" s="0" t="n">
        <v>1.26</v>
      </c>
      <c r="L24" s="0" t="n">
        <v>1.28</v>
      </c>
      <c r="M24" s="0" t="n">
        <v>1.18</v>
      </c>
    </row>
  </sheetData>
  <pageMargins left="0.6997222304344177" right="0.6997222304344177" top="0.75" bottom="0.75" header="0.300000011920929" footer="0.300000011920929"/>
  <pageSetup orientation="portrait" paperSize="9" fitToHeight="0" fitToWidth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2:M37"/>
  <sheetViews>
    <sheetView zoomScale="85" zoomScaleNormal="85" zoomScaleSheetLayoutView="85" workbookViewId="0">
      <selection activeCell="F18" sqref="F18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</v>
      </c>
      <c r="H2" s="24" t="inlineStr">
        <is>
          <t>년</t>
        </is>
      </c>
      <c r="I2" s="24" t="inlineStr">
        <is>
          <t>월</t>
        </is>
      </c>
      <c r="J2" s="24" t="inlineStr">
        <is>
          <t>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/>
      <c r="G3" s="13" t="inlineStr">
        <is>
          <t>KW</t>
        </is>
      </c>
      <c r="H3" s="15" t="inlineStr">
        <is>
          <t>REF</t>
        </is>
      </c>
      <c r="I3" s="13" t="n"/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32.1</v>
      </c>
      <c r="D6" s="19" t="n">
        <v>32.5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85.5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1.59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1.59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4.37</v>
      </c>
      <c r="D16" s="20" t="n">
        <v>4.41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13.49</v>
      </c>
      <c r="D17" s="20" t="n">
        <v>12.4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</v>
      </c>
      <c r="D18" s="20" t="n">
        <v>12.88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12.11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13.07</v>
      </c>
      <c r="D20" s="20" t="n">
        <v>12.4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13.34</v>
      </c>
      <c r="D21" s="20" t="n">
        <v>12.91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13.56</v>
      </c>
      <c r="D22" s="28" t="n">
        <v>13.42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3.97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4.06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1.18</v>
      </c>
      <c r="D27" s="21" t="n">
        <v>1.21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36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</v>
      </c>
      <c r="H2" s="24" t="inlineStr">
        <is>
          <t>년</t>
        </is>
      </c>
      <c r="I2" s="24" t="inlineStr">
        <is>
          <t>월</t>
        </is>
      </c>
      <c r="J2" s="24" t="inlineStr">
        <is>
          <t>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/>
      <c r="G3" s="13" t="inlineStr">
        <is>
          <t>KW</t>
        </is>
      </c>
      <c r="H3" s="15" t="inlineStr">
        <is>
          <t>REF</t>
        </is>
      </c>
      <c r="I3" s="13" t="n"/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38.8</v>
      </c>
      <c r="D6" s="19" t="n">
        <v>39.1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43.4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85.40000000000001</v>
      </c>
      <c r="D9" s="20" t="n">
        <v>81.40000000000001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4.4</v>
      </c>
      <c r="D16" s="20" t="n">
        <v>4.42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13.53</v>
      </c>
      <c r="D17" s="20" t="n">
        <v>12.34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</v>
      </c>
      <c r="D18" s="20" t="n">
        <v>12.82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12.08</v>
      </c>
      <c r="D19" s="20" t="n">
        <v>11.22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13.06</v>
      </c>
      <c r="D20" s="20" t="n">
        <v>12.33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13.34</v>
      </c>
      <c r="D21" s="20" t="n">
        <v>12.89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13.6</v>
      </c>
      <c r="D22" s="28" t="n">
        <v>13.39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3.96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4.04</v>
      </c>
      <c r="D26" s="20" t="n">
        <v>4.07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1.23</v>
      </c>
      <c r="D27" s="21" t="n">
        <v>1.18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46.96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47.33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0.12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28.6302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2021</v>
      </c>
      <c r="H2" s="24" t="inlineStr">
        <is>
          <t>년</t>
        </is>
      </c>
      <c r="I2" s="24" t="inlineStr">
        <is>
          <t>4월</t>
        </is>
      </c>
      <c r="J2" s="24" t="inlineStr">
        <is>
          <t>26일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>
        <v>2488.857</v>
      </c>
      <c r="G3" s="13" t="inlineStr">
        <is>
          <t>W</t>
        </is>
      </c>
      <c r="H3" s="15" t="inlineStr">
        <is>
          <t>REF</t>
        </is>
      </c>
      <c r="I3" s="13" t="n">
        <v>4.667</v>
      </c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37.4</v>
      </c>
      <c r="D6" s="19" t="n">
        <v>37.7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85.40000000000001</v>
      </c>
      <c r="D9" s="20" t="n">
        <v>81.7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4.38</v>
      </c>
      <c r="D16" s="20" t="n">
        <v>4.42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13.52</v>
      </c>
      <c r="D17" s="20" t="n">
        <v>12.38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12.09</v>
      </c>
      <c r="D19" s="20" t="n">
        <v>11.26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13.04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13.33</v>
      </c>
      <c r="D21" s="20" t="n">
        <v>12.92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13.57</v>
      </c>
      <c r="D22" s="28" t="n">
        <v>13.43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3.95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1.16</v>
      </c>
      <c r="D27" s="21" t="n">
        <v>1.19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47.95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48.03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0.13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25.537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2:M37"/>
  <sheetViews>
    <sheetView zoomScale="85" zoomScaleNormal="85" zoomScaleSheetLayoutView="85" workbookViewId="0">
      <selection activeCell="O10" sqref="O10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2021</v>
      </c>
      <c r="H2" s="24" t="inlineStr">
        <is>
          <t>년</t>
        </is>
      </c>
      <c r="I2" s="24" t="inlineStr">
        <is>
          <t>5월</t>
        </is>
      </c>
      <c r="J2" s="24" t="inlineStr">
        <is>
          <t>25일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>
        <v>2500.345</v>
      </c>
      <c r="G3" s="13" t="inlineStr">
        <is>
          <t>W</t>
        </is>
      </c>
      <c r="H3" s="15" t="inlineStr">
        <is>
          <t>REF</t>
        </is>
      </c>
      <c r="I3" s="13" t="n">
        <v>2.328</v>
      </c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41.5</v>
      </c>
      <c r="D6" s="19" t="n">
        <v>41.9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43.4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85.8</v>
      </c>
      <c r="D9" s="20" t="n">
        <v>81.7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4.4</v>
      </c>
      <c r="D16" s="20" t="n">
        <v>4.43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13.6</v>
      </c>
      <c r="D17" s="20" t="n">
        <v>12.4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13.27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12.12</v>
      </c>
      <c r="D19" s="20" t="n">
        <v>11.24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13.12</v>
      </c>
      <c r="D20" s="20" t="n">
        <v>12.36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13.43</v>
      </c>
      <c r="D21" s="20" t="n">
        <v>12.94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13.69</v>
      </c>
      <c r="D22" s="28" t="n">
        <v>13.44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3.96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4.05</v>
      </c>
      <c r="D26" s="20" t="n">
        <v>4.07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1.24</v>
      </c>
      <c r="D27" s="21" t="n">
        <v>1.16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48.08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48.32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0.08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37.0796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2:M37"/>
  <sheetViews>
    <sheetView zoomScale="85" zoomScaleNormal="85" zoomScaleSheetLayoutView="85" workbookViewId="0">
      <selection activeCell="C35" sqref="C35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2021</v>
      </c>
      <c r="H2" s="24" t="inlineStr">
        <is>
          <t>년</t>
        </is>
      </c>
      <c r="I2" s="24" t="inlineStr">
        <is>
          <t>6월</t>
        </is>
      </c>
      <c r="J2" s="24" t="inlineStr">
        <is>
          <t>21일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>
        <v>2500.345</v>
      </c>
      <c r="G3" s="13" t="inlineStr">
        <is>
          <t>W</t>
        </is>
      </c>
      <c r="H3" s="15" t="inlineStr">
        <is>
          <t>REF</t>
        </is>
      </c>
      <c r="I3" s="13" t="n">
        <v>4.732</v>
      </c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36.8</v>
      </c>
      <c r="D6" s="19" t="n">
        <v>37.1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85.59999999999999</v>
      </c>
      <c r="D9" s="20" t="n">
        <v>82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4.36</v>
      </c>
      <c r="D16" s="20" t="n">
        <v>4.41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13.56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13.24</v>
      </c>
      <c r="D18" s="20" t="n">
        <v>12.91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12.12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13.09</v>
      </c>
      <c r="D20" s="20" t="n">
        <v>12.43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13.38</v>
      </c>
      <c r="D21" s="20" t="n">
        <v>12.97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13.6</v>
      </c>
      <c r="D22" s="28" t="n">
        <v>13.46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3.96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1.19</v>
      </c>
      <c r="D27" s="21" t="n">
        <v>1.24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48.01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48.02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0.13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19.6575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9.xml><?xml version="1.0" encoding="utf-8"?>
<worksheet xmlns="http://schemas.openxmlformats.org/spreadsheetml/2006/main">
  <sheetPr codeName="Sheet9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2021</v>
      </c>
      <c r="H2" s="24" t="inlineStr">
        <is>
          <t>년</t>
        </is>
      </c>
      <c r="I2" s="24" t="inlineStr">
        <is>
          <t>7월</t>
        </is>
      </c>
      <c r="J2" s="24" t="inlineStr">
        <is>
          <t>23일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>
        <v>2511.886</v>
      </c>
      <c r="G3" s="13" t="inlineStr">
        <is>
          <t>W</t>
        </is>
      </c>
      <c r="H3" s="15" t="inlineStr">
        <is>
          <t>REF</t>
        </is>
      </c>
      <c r="I3" s="13" t="n">
        <v>2.382</v>
      </c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47</v>
      </c>
      <c r="D6" s="19" t="n">
        <v>47.3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86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1.64</v>
      </c>
      <c r="D10" s="20" t="n">
        <v>1.66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1.64</v>
      </c>
      <c r="D15" s="19" t="n">
        <v>1.66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4.41</v>
      </c>
      <c r="D16" s="20" t="n">
        <v>4.44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13.65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13.3</v>
      </c>
      <c r="D18" s="20" t="n">
        <v>12.87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12.13</v>
      </c>
      <c r="D19" s="20" t="n">
        <v>11.24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13.15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13.48</v>
      </c>
      <c r="D21" s="20" t="n">
        <v>12.98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13.74</v>
      </c>
      <c r="D22" s="28" t="n">
        <v>13.48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3.95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4.05</v>
      </c>
      <c r="D26" s="20" t="n">
        <v>4.07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1.21</v>
      </c>
      <c r="D27" s="21" t="n">
        <v>1.14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47.6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47.88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0.09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41.6698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2:M37"/>
  <sheetViews>
    <sheetView zoomScale="85" zoomScaleNormal="85" zoomScaleSheetLayoutView="85" workbookViewId="0">
      <selection activeCell="B2" sqref="B2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2021</v>
      </c>
      <c r="H2" s="24" t="inlineStr">
        <is>
          <t>년</t>
        </is>
      </c>
      <c r="I2" s="24" t="inlineStr">
        <is>
          <t>8월</t>
        </is>
      </c>
      <c r="J2" s="24" t="inlineStr">
        <is>
          <t>23일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>
        <v>2500.34</v>
      </c>
      <c r="G3" s="13" t="inlineStr">
        <is>
          <t>W</t>
        </is>
      </c>
      <c r="H3" s="15" t="inlineStr">
        <is>
          <t>REF</t>
        </is>
      </c>
      <c r="I3" s="13" t="n">
        <v>4.477</v>
      </c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38.3</v>
      </c>
      <c r="D6" s="19" t="n">
        <v>38.6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85.7</v>
      </c>
      <c r="D9" s="20" t="n">
        <v>82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1.61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1.61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4.35</v>
      </c>
      <c r="D16" s="20" t="n">
        <v>4.41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13.57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13.24</v>
      </c>
      <c r="D18" s="20" t="n">
        <v>12.91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12.14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13.11</v>
      </c>
      <c r="D20" s="20" t="n">
        <v>12.43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13.41</v>
      </c>
      <c r="D21" s="20" t="n">
        <v>12.97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13.63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1.18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47.72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47.37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0.12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28.0688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2:M37"/>
  <sheetViews>
    <sheetView zoomScale="85" zoomScaleNormal="85" zoomScaleSheetLayoutView="85" workbookViewId="0">
      <selection activeCell="F7" sqref="F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2021</v>
      </c>
      <c r="H2" s="24" t="inlineStr">
        <is>
          <t>년</t>
        </is>
      </c>
      <c r="I2" s="24" t="inlineStr">
        <is>
          <t>9월</t>
        </is>
      </c>
      <c r="J2" s="24" t="inlineStr">
        <is>
          <t>24일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>
        <v>2500.345</v>
      </c>
      <c r="G3" s="13" t="inlineStr">
        <is>
          <t>W</t>
        </is>
      </c>
      <c r="H3" s="15" t="inlineStr">
        <is>
          <t>REF</t>
        </is>
      </c>
      <c r="I3" s="13" t="n">
        <v>4.581</v>
      </c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36.7</v>
      </c>
      <c r="D6" s="19" t="n">
        <v>37.1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85.59999999999999</v>
      </c>
      <c r="D9" s="20" t="n">
        <v>82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4.33</v>
      </c>
      <c r="D16" s="20" t="n">
        <v>4.39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13.56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13.23</v>
      </c>
      <c r="D18" s="20" t="n">
        <v>12.9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12.13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13.1</v>
      </c>
      <c r="D20" s="20" t="n">
        <v>12.42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13.4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13.61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1.21</v>
      </c>
      <c r="D27" s="21" t="n">
        <v>1.27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47.54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47.06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0.13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18.754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25" t="inlineStr">
        <is>
          <t>1HD TX-A</t>
        </is>
      </c>
      <c r="G2" s="24" t="n">
        <v>2021</v>
      </c>
      <c r="H2" s="24" t="inlineStr">
        <is>
          <t>년</t>
        </is>
      </c>
      <c r="I2" s="24" t="inlineStr">
        <is>
          <t>10월</t>
        </is>
      </c>
      <c r="J2" s="24" t="inlineStr">
        <is>
          <t>29일</t>
        </is>
      </c>
    </row>
    <row r="3" ht="33" customHeight="1" s="55">
      <c r="A3" s="78" t="inlineStr">
        <is>
          <t>매    체</t>
        </is>
      </c>
      <c r="B3" s="72" t="n"/>
      <c r="C3" s="81" t="inlineStr">
        <is>
          <t>HD 1  TX A</t>
        </is>
      </c>
      <c r="D3" s="72" t="n"/>
      <c r="E3" s="13" t="inlineStr">
        <is>
          <t>FWD</t>
        </is>
      </c>
      <c r="F3" s="13" t="n">
        <v>2500.3</v>
      </c>
      <c r="G3" s="13" t="inlineStr">
        <is>
          <t>W</t>
        </is>
      </c>
      <c r="H3" s="15" t="inlineStr">
        <is>
          <t>REF</t>
        </is>
      </c>
      <c r="I3" s="13" t="n">
        <v>4.624</v>
      </c>
      <c r="J3" s="14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9" t="inlineStr">
        <is>
          <t>ANT  /  DL</t>
        </is>
      </c>
      <c r="B5" s="74" t="n"/>
      <c r="C5" s="22" t="inlineStr">
        <is>
          <t>AMP 1</t>
        </is>
      </c>
      <c r="D5" s="53" t="inlineStr">
        <is>
          <t>AMP 2</t>
        </is>
      </c>
      <c r="E5" s="80" t="n"/>
      <c r="F5" s="53" t="n"/>
      <c r="G5" s="80" t="n"/>
      <c r="H5" s="53" t="n"/>
      <c r="I5" s="80" t="inlineStr">
        <is>
          <t>비 고</t>
        </is>
      </c>
      <c r="J5" s="74" t="n"/>
    </row>
    <row r="6" ht="23.25" customHeight="1" s="55">
      <c r="A6" s="77" t="inlineStr">
        <is>
          <t>Supply</t>
        </is>
      </c>
      <c r="B6" s="29" t="inlineStr">
        <is>
          <t>AMP Temp [°C]</t>
        </is>
      </c>
      <c r="C6" s="2" t="n">
        <v>34.8</v>
      </c>
      <c r="D6" s="19" t="n">
        <v>35.1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30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30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30" t="inlineStr">
        <is>
          <t>I DC [A]</t>
        </is>
      </c>
      <c r="C9" s="3" t="n">
        <v>85.5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30" t="inlineStr">
        <is>
          <t>I Pre [A]</t>
        </is>
      </c>
      <c r="C10" s="3" t="n">
        <v>1.59</v>
      </c>
      <c r="D10" s="20" t="n">
        <v>1.61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30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30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30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31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77" t="inlineStr">
        <is>
          <t>Transistors</t>
        </is>
      </c>
      <c r="B15" s="29" t="inlineStr">
        <is>
          <t>I PRE [A]</t>
        </is>
      </c>
      <c r="C15" s="2" t="n">
        <v>1.59</v>
      </c>
      <c r="D15" s="19" t="n">
        <v>1.61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30" t="inlineStr">
        <is>
          <t>I DRV [A]</t>
        </is>
      </c>
      <c r="C16" s="3" t="n">
        <v>4.33</v>
      </c>
      <c r="D16" s="20" t="n">
        <v>4.39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30" t="inlineStr">
        <is>
          <t>I 1A [A]</t>
        </is>
      </c>
      <c r="C17" s="3" t="n">
        <v>13.52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30" t="inlineStr">
        <is>
          <t>I 2A [A]</t>
        </is>
      </c>
      <c r="C18" s="3" t="n">
        <v>13.21</v>
      </c>
      <c r="D18" s="20" t="n">
        <v>12.87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30" t="inlineStr">
        <is>
          <t>I 3A [A]</t>
        </is>
      </c>
      <c r="C19" s="3" t="n">
        <v>12.12</v>
      </c>
      <c r="D19" s="20" t="n">
        <v>11.29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30" t="inlineStr">
        <is>
          <t>I 1B [A]</t>
        </is>
      </c>
      <c r="C20" s="3" t="n">
        <v>13.08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30" t="inlineStr">
        <is>
          <t>I 2B [A]</t>
        </is>
      </c>
      <c r="C21" s="3" t="n">
        <v>13.36</v>
      </c>
      <c r="D21" s="20" t="n">
        <v>12.93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31" t="inlineStr">
        <is>
          <t>I 3B [A]</t>
        </is>
      </c>
      <c r="C22" s="27" t="n">
        <v>13.58</v>
      </c>
      <c r="D22" s="28" t="n">
        <v>13.43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77" t="inlineStr">
        <is>
          <t>RF Levels</t>
        </is>
      </c>
      <c r="B23" s="29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30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30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30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32" t="inlineStr">
        <is>
          <t>Reflected Out [V]</t>
        </is>
      </c>
      <c r="C27" s="4" t="n">
        <v>1.21</v>
      </c>
      <c r="D27" s="21" t="n">
        <v>1.26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8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8" t="inlineStr">
        <is>
          <t>Shoulder Left :</t>
        </is>
      </c>
      <c r="C32" s="1" t="n">
        <v>47.64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47.26</v>
      </c>
      <c r="D33" s="1" t="inlineStr">
        <is>
          <t>dB</t>
        </is>
      </c>
      <c r="J33" s="9" t="n"/>
    </row>
    <row r="34">
      <c r="A34" s="8" t="inlineStr">
        <is>
          <t>Measured Ripple :</t>
        </is>
      </c>
      <c r="C34" s="1" t="n">
        <v>0.12</v>
      </c>
      <c r="D34" s="1" t="inlineStr">
        <is>
          <t>dB</t>
        </is>
      </c>
      <c r="J34" s="9" t="n"/>
    </row>
    <row r="35">
      <c r="A35" s="8" t="inlineStr">
        <is>
          <t>Measured Group Delay :</t>
        </is>
      </c>
      <c r="C35" s="1" t="n">
        <v>40.149</v>
      </c>
      <c r="D35" s="1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3.xml><?xml version="1.0" encoding="utf-8"?>
<worksheet xmlns="http://schemas.openxmlformats.org/spreadsheetml/2006/main">
  <sheetPr codeName="Sheet13">
    <outlinePr summaryBelow="1" summaryRight="1"/>
    <pageSetUpPr fitToPage="1"/>
  </sheetPr>
  <dimension ref="A2:M37"/>
  <sheetViews>
    <sheetView zoomScale="85" zoomScaleNormal="85" zoomScaleSheetLayoutView="85" workbookViewId="0">
      <selection activeCell="D2" sqref="D2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41" t="inlineStr">
        <is>
          <t>1HD TX-A</t>
        </is>
      </c>
      <c r="B2" s="52" t="n"/>
      <c r="G2" s="42" t="n">
        <v>2021</v>
      </c>
      <c r="H2" s="42" t="inlineStr">
        <is>
          <t>년</t>
        </is>
      </c>
      <c r="I2" s="42" t="inlineStr">
        <is>
          <t>11월</t>
        </is>
      </c>
      <c r="J2" s="42" t="inlineStr">
        <is>
          <t>15일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2500.345</v>
      </c>
      <c r="G3" s="43" t="inlineStr">
        <is>
          <t>W</t>
        </is>
      </c>
      <c r="H3" s="44" t="inlineStr">
        <is>
          <t>REF</t>
        </is>
      </c>
      <c r="I3" s="13" t="n">
        <v>4.624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33</v>
      </c>
      <c r="D6" s="19" t="n">
        <v>33.4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85.3</v>
      </c>
      <c r="D9" s="20" t="n">
        <v>81.7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1.61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1.61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4.32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13.49</v>
      </c>
      <c r="D17" s="20" t="n">
        <v>12.37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13.17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11.28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13.05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13.33</v>
      </c>
      <c r="D21" s="20" t="n">
        <v>12.91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13.56</v>
      </c>
      <c r="D22" s="28" t="n">
        <v>13.41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1.21</v>
      </c>
      <c r="D27" s="21" t="n">
        <v>1.28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47.39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47.01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0.14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40.9903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4.xml><?xml version="1.0" encoding="utf-8"?>
<worksheet xmlns="http://schemas.openxmlformats.org/spreadsheetml/2006/main">
  <sheetPr codeName="Sheet14">
    <outlinePr summaryBelow="1" summaryRight="1"/>
    <pageSetUpPr fitToPage="1"/>
  </sheetPr>
  <dimension ref="A2:M37"/>
  <sheetViews>
    <sheetView zoomScale="85" zoomScaleNormal="85" zoomScaleSheetLayoutView="85" workbookViewId="0">
      <selection activeCell="B2" sqref="B2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41" t="inlineStr">
        <is>
          <t>1HD TX-A</t>
        </is>
      </c>
      <c r="B2" s="52" t="n"/>
      <c r="G2" s="42" t="n">
        <v>2021</v>
      </c>
      <c r="H2" s="42" t="inlineStr">
        <is>
          <t>년</t>
        </is>
      </c>
      <c r="I2" s="42" t="inlineStr">
        <is>
          <t>12월</t>
        </is>
      </c>
      <c r="J2" s="42" t="inlineStr">
        <is>
          <t>24일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2500.345</v>
      </c>
      <c r="G3" s="43" t="inlineStr">
        <is>
          <t>W</t>
        </is>
      </c>
      <c r="H3" s="44" t="inlineStr">
        <is>
          <t>REF</t>
        </is>
      </c>
      <c r="I3" s="13" t="n">
        <v>2.254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39.2</v>
      </c>
      <c r="D6" s="19" t="n">
        <v>39.6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4.39</v>
      </c>
      <c r="D16" s="20" t="n">
        <v>4.43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13.54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13.22</v>
      </c>
      <c r="D18" s="20" t="n">
        <v>12.84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11.24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13.11</v>
      </c>
      <c r="D20" s="20" t="n">
        <v>12.36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13.39</v>
      </c>
      <c r="D21" s="20" t="n">
        <v>12.92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13.65</v>
      </c>
      <c r="D22" s="28" t="n">
        <v>13.42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1.24</v>
      </c>
      <c r="D27" s="21" t="n">
        <v>1.18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47.32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48.51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27.5731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2:M37"/>
  <sheetViews>
    <sheetView zoomScale="85" zoomScaleNormal="85" zoomScaleSheetLayoutView="85" workbookViewId="0">
      <selection activeCell="D8" sqref="D8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1월</t>
        </is>
      </c>
      <c r="J2" s="42" t="inlineStr">
        <is>
          <t>24일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4.624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31</v>
      </c>
      <c r="D6" s="19" t="n">
        <v>31.3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15.2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85.40000000000001</v>
      </c>
      <c r="D9" s="20" t="n">
        <v>81.7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1.58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1.58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4.33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13.49</v>
      </c>
      <c r="D17" s="20" t="n">
        <v>12.38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13.17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13.04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13.32</v>
      </c>
      <c r="D21" s="20" t="n">
        <v>12.91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13.53</v>
      </c>
      <c r="D22" s="28" t="n">
        <v>13.39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1.19</v>
      </c>
      <c r="D27" s="21" t="n">
        <v>1.25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47.05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48.22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14.5995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6.xml><?xml version="1.0" encoding="utf-8"?>
<worksheet xmlns="http://schemas.openxmlformats.org/spreadsheetml/2006/main">
  <sheetPr codeName="Sheet16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2월</t>
        </is>
      </c>
      <c r="J2" s="42" t="inlineStr">
        <is>
          <t>21일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2477.421</v>
      </c>
      <c r="G3" s="43" t="inlineStr">
        <is>
          <t>W</t>
        </is>
      </c>
      <c r="H3" s="44" t="inlineStr">
        <is>
          <t>REF</t>
        </is>
      </c>
      <c r="I3" s="13" t="n">
        <v>4.667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25.2</v>
      </c>
      <c r="D6" s="19" t="n">
        <v>25.5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15.2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</v>
      </c>
      <c r="D9" s="20" t="n">
        <v>81.40000000000001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1.56</v>
      </c>
      <c r="D10" s="20" t="n">
        <v>1.58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5.22</v>
      </c>
      <c r="D11" s="20" t="n">
        <v>5.21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1.56</v>
      </c>
      <c r="D15" s="19" t="n">
        <v>1.58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13.41</v>
      </c>
      <c r="D17" s="20" t="n">
        <v>12.31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13.12</v>
      </c>
      <c r="D18" s="20" t="n">
        <v>12.81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</v>
      </c>
      <c r="D20" s="20" t="n">
        <v>12.34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13.26</v>
      </c>
      <c r="D21" s="20" t="n">
        <v>12.86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13.45</v>
      </c>
      <c r="D22" s="28" t="n">
        <v>13.32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3.91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4.07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1.22</v>
      </c>
      <c r="D27" s="21" t="n">
        <v>1.3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46.86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48.14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0.09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19.3165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7.xml><?xml version="1.0" encoding="utf-8"?>
<worksheet xmlns="http://schemas.openxmlformats.org/spreadsheetml/2006/main">
  <sheetPr codeName="Sheet17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3월</t>
        </is>
      </c>
      <c r="J2" s="42" t="inlineStr">
        <is>
          <t>14일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2.404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36.5</v>
      </c>
      <c r="D6" s="19" t="n">
        <v>36.8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81.5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4.37</v>
      </c>
      <c r="D16" s="20" t="n">
        <v>4.41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13.53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13.22</v>
      </c>
      <c r="D18" s="20" t="n">
        <v>12.82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11.25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13.11</v>
      </c>
      <c r="D20" s="20" t="n">
        <v>12.34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13.39</v>
      </c>
      <c r="D21" s="20" t="n">
        <v>12.91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13.64</v>
      </c>
      <c r="D22" s="28" t="n">
        <v>13.39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1.21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47.75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49.28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38.7632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8.xml><?xml version="1.0" encoding="utf-8"?>
<worksheet xmlns="http://schemas.openxmlformats.org/spreadsheetml/2006/main">
  <sheetPr codeName="Sheet18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4월</t>
        </is>
      </c>
      <c r="J2" s="42" t="inlineStr">
        <is>
          <t>20일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2500.345</v>
      </c>
      <c r="G3" s="43" t="inlineStr">
        <is>
          <t>W</t>
        </is>
      </c>
      <c r="H3" s="44" t="inlineStr">
        <is>
          <t>REF</t>
        </is>
      </c>
      <c r="I3" s="13" t="n">
        <v>2.382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41.1</v>
      </c>
      <c r="D6" s="19" t="n">
        <v>41.5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81.7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4.36</v>
      </c>
      <c r="D16" s="20" t="n">
        <v>4.41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13.56</v>
      </c>
      <c r="D17" s="20" t="n">
        <v>12.41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13.25</v>
      </c>
      <c r="D18" s="20" t="n">
        <v>12.84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11.25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13.12</v>
      </c>
      <c r="D20" s="20" t="n">
        <v>12.36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13.41</v>
      </c>
      <c r="D21" s="20" t="n">
        <v>12.94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13.67</v>
      </c>
      <c r="D22" s="28" t="n">
        <v>13.43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1.24</v>
      </c>
      <c r="D27" s="21" t="n">
        <v>1.17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48.07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49.04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0.09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42.9037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9.xml><?xml version="1.0" encoding="utf-8"?>
<worksheet xmlns="http://schemas.openxmlformats.org/spreadsheetml/2006/main">
  <sheetPr codeName="Sheet19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customWidth="1" style="1" min="9" max="18"/>
    <col width="9" customWidth="1" style="1" min="19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5월</t>
        </is>
      </c>
      <c r="J2" s="42" t="inlineStr">
        <is>
          <t>16일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2500.345</v>
      </c>
      <c r="G3" s="43" t="inlineStr">
        <is>
          <t>W</t>
        </is>
      </c>
      <c r="H3" s="44" t="inlineStr">
        <is>
          <t>REF</t>
        </is>
      </c>
      <c r="I3" s="13" t="n">
        <v>2.328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43.6</v>
      </c>
      <c r="D6" s="19" t="n">
        <v>43.9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85.7</v>
      </c>
      <c r="D9" s="20" t="n">
        <v>81.7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1.63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1.63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4.38</v>
      </c>
      <c r="D16" s="20" t="n">
        <v>4.43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13.57</v>
      </c>
      <c r="D17" s="20" t="n">
        <v>12.41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13.26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11.23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13.14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13.44</v>
      </c>
      <c r="D21" s="20" t="n">
        <v>12.94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13.69</v>
      </c>
      <c r="D22" s="28" t="n">
        <v>13.45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1.23</v>
      </c>
      <c r="D27" s="21" t="n">
        <v>1.17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48.03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49.68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34.1548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0.xml><?xml version="1.0" encoding="utf-8"?>
<worksheet xmlns="http://schemas.openxmlformats.org/spreadsheetml/2006/main">
  <sheetPr codeName="Sheet20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6월</t>
        </is>
      </c>
      <c r="J2" s="42" t="inlineStr">
        <is>
          <t>23일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2.328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41</v>
      </c>
      <c r="D6" s="19" t="n">
        <v>41.3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85.7</v>
      </c>
      <c r="D9" s="20" t="n">
        <v>81.7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4.35</v>
      </c>
      <c r="D16" s="20" t="n">
        <v>4.4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13.58</v>
      </c>
      <c r="D17" s="20" t="n">
        <v>12.41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13.26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12.12</v>
      </c>
      <c r="D19" s="20" t="n">
        <v>11.25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13.15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13.43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13.69</v>
      </c>
      <c r="D22" s="28" t="n">
        <v>13.44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1.24</v>
      </c>
      <c r="D27" s="21" t="n">
        <v>1.18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48.17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49.68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0.07000000000000001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32.819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1.xml><?xml version="1.0" encoding="utf-8"?>
<worksheet xmlns="http://schemas.openxmlformats.org/spreadsheetml/2006/main">
  <sheetPr codeName="Sheet21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7월</t>
        </is>
      </c>
      <c r="J2" s="42" t="inlineStr">
        <is>
          <t>21일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2.46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43.5</v>
      </c>
      <c r="D6" s="19" t="n">
        <v>43.9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85.8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1.63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1.63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4.38</v>
      </c>
      <c r="D16" s="20" t="n">
        <v>4.42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13.6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13.27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12.12</v>
      </c>
      <c r="D19" s="20" t="n">
        <v>11.25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13.16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13.45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13.71</v>
      </c>
      <c r="D22" s="28" t="n">
        <v>13.46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1.25</v>
      </c>
      <c r="D27" s="21" t="n">
        <v>1.19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48.01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49.57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30.0237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2.xml><?xml version="1.0" encoding="utf-8"?>
<worksheet xmlns="http://schemas.openxmlformats.org/spreadsheetml/2006/main">
  <sheetPr codeName="Sheet22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08월</t>
        </is>
      </c>
      <c r="J2" s="42" t="inlineStr">
        <is>
          <t>29일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2.404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43.3</v>
      </c>
      <c r="D6" s="19" t="n">
        <v>43.6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85.7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1.63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1.63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4.36</v>
      </c>
      <c r="D16" s="20" t="n">
        <v>4.41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13.59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13.26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12.12</v>
      </c>
      <c r="D19" s="20" t="n">
        <v>11.25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13.16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13.45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13.71</v>
      </c>
      <c r="D22" s="28" t="n">
        <v>13.46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1.24</v>
      </c>
      <c r="D27" s="21" t="n">
        <v>1.18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48.16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49.69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0.07000000000000001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29.4866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3.xml><?xml version="1.0" encoding="utf-8"?>
<worksheet xmlns="http://schemas.openxmlformats.org/spreadsheetml/2006/main">
  <sheetPr codeName="Sheet23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09월</t>
        </is>
      </c>
      <c r="J2" s="42" t="inlineStr">
        <is>
          <t>26일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2.382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45</v>
      </c>
      <c r="D6" s="19" t="n">
        <v>45.4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85.7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1.63</v>
      </c>
      <c r="D10" s="20" t="n">
        <v>1.65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1.63</v>
      </c>
      <c r="D15" s="19" t="n">
        <v>1.65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4.38</v>
      </c>
      <c r="D16" s="20" t="n">
        <v>4.42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13.59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13.26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11.24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13.15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13.45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13.71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1.23</v>
      </c>
      <c r="D27" s="21" t="n">
        <v>1.18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48.06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49.58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0.07000000000000001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30.8507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4.xml><?xml version="1.0" encoding="utf-8"?>
<worksheet xmlns="http://schemas.openxmlformats.org/spreadsheetml/2006/main">
  <sheetPr codeName="Sheet24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10월</t>
        </is>
      </c>
      <c r="J2" s="42" t="inlineStr">
        <is>
          <t>24일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4.519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35.9</v>
      </c>
      <c r="D6" s="19" t="n">
        <v>36.3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85.40000000000001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4.31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</v>
      </c>
      <c r="D17" s="20" t="n">
        <v>12.4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13.18</v>
      </c>
      <c r="D18" s="20" t="n">
        <v>12.87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13.07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13.34</v>
      </c>
      <c r="D21" s="20" t="n">
        <v>12.94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13.59</v>
      </c>
      <c r="D22" s="28" t="n">
        <v>13.44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1.17</v>
      </c>
      <c r="D27" s="21" t="n">
        <v>1.21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48.11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49.95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22.0994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5.xml><?xml version="1.0" encoding="utf-8"?>
<worksheet xmlns="http://schemas.openxmlformats.org/spreadsheetml/2006/main">
  <sheetPr codeName="Sheet25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12월</t>
        </is>
      </c>
      <c r="J2" s="42" t="inlineStr">
        <is>
          <t>05일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4.581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30.6</v>
      </c>
      <c r="D6" s="19" t="n">
        <v>31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1.58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1.58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4.35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13.45</v>
      </c>
      <c r="D17" s="20" t="n">
        <v>12.37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13.14</v>
      </c>
      <c r="D18" s="20" t="n">
        <v>12.83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12.07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13.01</v>
      </c>
      <c r="D20" s="20" t="n">
        <v>12.36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13.28</v>
      </c>
      <c r="D21" s="20" t="n">
        <v>12.89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13.52</v>
      </c>
      <c r="D22" s="28" t="n">
        <v>13.38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3.91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1.17</v>
      </c>
      <c r="D27" s="21" t="n">
        <v>1.22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49.37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22.7328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6.xml><?xml version="1.0" encoding="utf-8"?>
<worksheet xmlns="http://schemas.openxmlformats.org/spreadsheetml/2006/main">
  <sheetPr codeName="Sheet26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2022</v>
      </c>
      <c r="H2" s="42" t="inlineStr">
        <is>
          <t>년</t>
        </is>
      </c>
      <c r="I2" s="42" t="inlineStr">
        <is>
          <t>12월</t>
        </is>
      </c>
      <c r="J2" s="42" t="inlineStr">
        <is>
          <t>29일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2.153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29.7</v>
      </c>
      <c r="D6" s="19" t="n">
        <v>30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</v>
      </c>
      <c r="D9" s="20" t="n">
        <v>81.3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1.58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1.58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13.43</v>
      </c>
      <c r="D17" s="20" t="n">
        <v>12.32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13.14</v>
      </c>
      <c r="D18" s="20" t="n">
        <v>12.77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12.04</v>
      </c>
      <c r="D19" s="20" t="n">
        <v>11.26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13.02</v>
      </c>
      <c r="D20" s="20" t="n">
        <v>12.3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13.28</v>
      </c>
      <c r="D21" s="20" t="n">
        <v>12.85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13.53</v>
      </c>
      <c r="D22" s="28" t="n">
        <v>13.33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48.25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49.88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0.07000000000000001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31.1052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7.xml><?xml version="1.0" encoding="utf-8"?>
<worksheet xmlns="http://schemas.openxmlformats.org/spreadsheetml/2006/main">
  <sheetPr codeName="Sheet27">
    <outlinePr summaryBelow="1" summaryRight="1"/>
    <pageSetUpPr fitToPage="1"/>
  </sheetPr>
  <dimension ref="A2:M37"/>
  <sheetViews>
    <sheetView zoomScale="85" zoomScaleNormal="85" zoomScaleSheetLayoutView="85" workbookViewId="0">
      <selection activeCell="C6" sqref="C6:C2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01월</t>
        </is>
      </c>
      <c r="J2" s="42" t="inlineStr">
        <is>
          <t>25일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2477.421</v>
      </c>
      <c r="G3" s="43" t="inlineStr">
        <is>
          <t>W</t>
        </is>
      </c>
      <c r="H3" s="44" t="inlineStr">
        <is>
          <t>REF</t>
        </is>
      </c>
      <c r="I3" s="13" t="n">
        <v>2.123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26.1</v>
      </c>
      <c r="D6" s="19" t="n">
        <v>26.4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84.8</v>
      </c>
      <c r="D9" s="20" t="n">
        <v>81.2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1.57</v>
      </c>
      <c r="D10" s="20" t="n">
        <v>1.59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1.57</v>
      </c>
      <c r="D15" s="19" t="n">
        <v>1.59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13.39</v>
      </c>
      <c r="D17" s="20" t="n">
        <v>12.3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13.12</v>
      </c>
      <c r="D18" s="20" t="n">
        <v>12.76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12.04</v>
      </c>
      <c r="D19" s="20" t="n">
        <v>11.27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</v>
      </c>
      <c r="D20" s="20" t="n">
        <v>12.3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13.24</v>
      </c>
      <c r="D21" s="20" t="n">
        <v>12.83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13.49</v>
      </c>
      <c r="D22" s="28" t="n">
        <v>13.3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1.32</v>
      </c>
      <c r="D27" s="21" t="n">
        <v>1.28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48.25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49.6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0.08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35.6577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8.xml><?xml version="1.0" encoding="utf-8"?>
<worksheet xmlns="http://schemas.openxmlformats.org/spreadsheetml/2006/main">
  <sheetPr codeName="Sheet28">
    <outlinePr summaryBelow="1" summaryRight="1"/>
    <pageSetUpPr fitToPage="1"/>
  </sheetPr>
  <dimension ref="A2:M37"/>
  <sheetViews>
    <sheetView zoomScale="85" zoomScaleNormal="85" zoomScaleSheetLayoutView="85" workbookViewId="0">
      <selection activeCell="M12" sqref="M11:M12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02월</t>
        </is>
      </c>
      <c r="J2" s="42" t="inlineStr">
        <is>
          <t>23일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4.667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31.6</v>
      </c>
      <c r="D6" s="19" t="n">
        <v>32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85.09999999999999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4.36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13.44</v>
      </c>
      <c r="D17" s="20" t="n">
        <v>12.38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13.14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12.06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13.02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13.29</v>
      </c>
      <c r="D21" s="20" t="n">
        <v>12.91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13.52</v>
      </c>
      <c r="D22" s="28" t="n">
        <v>13.4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3.91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1.19</v>
      </c>
      <c r="D27" s="21" t="n">
        <v>1.25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48.11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49.81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20.7912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9.xml><?xml version="1.0" encoding="utf-8"?>
<worksheet xmlns="http://schemas.openxmlformats.org/spreadsheetml/2006/main">
  <sheetPr codeName="Sheet29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03월</t>
        </is>
      </c>
      <c r="J2" s="42" t="inlineStr">
        <is>
          <t>23일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2500.345</v>
      </c>
      <c r="G3" s="43" t="inlineStr">
        <is>
          <t>W</t>
        </is>
      </c>
      <c r="H3" s="44" t="inlineStr">
        <is>
          <t>REF</t>
        </is>
      </c>
      <c r="I3" s="13" t="n">
        <v>2.576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42.3</v>
      </c>
      <c r="D6" s="19" t="n">
        <v>42.7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4.36</v>
      </c>
      <c r="D16" s="20" t="n">
        <v>4.42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13.56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13.25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11.26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13.13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13.42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13.69</v>
      </c>
      <c r="D22" s="28" t="n">
        <v>13.45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1.26</v>
      </c>
      <c r="D27" s="21" t="n">
        <v>1.19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48.15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49.56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0.07000000000000001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36.1077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0.xml><?xml version="1.0" encoding="utf-8"?>
<worksheet xmlns="http://schemas.openxmlformats.org/spreadsheetml/2006/main">
  <sheetPr codeName="Sheet30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04월</t>
        </is>
      </c>
      <c r="J2" s="42" t="inlineStr">
        <is>
          <t>26일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2.438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36.3</v>
      </c>
      <c r="D6" s="19" t="n">
        <v>36.6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85.40000000000001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4.31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13.51</v>
      </c>
      <c r="D17" s="20" t="n">
        <v>12.38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13.21</v>
      </c>
      <c r="D18" s="20" t="n">
        <v>12.82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11.27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13.09</v>
      </c>
      <c r="D20" s="20" t="n">
        <v>12.35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13.36</v>
      </c>
      <c r="D21" s="20" t="n">
        <v>12.91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13.62</v>
      </c>
      <c r="D22" s="28" t="n">
        <v>13.41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1.29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48.32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49.93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33.2917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1.xml><?xml version="1.0" encoding="utf-8"?>
<worksheet xmlns="http://schemas.openxmlformats.org/spreadsheetml/2006/main">
  <sheetPr codeName="Sheet31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05월</t>
        </is>
      </c>
      <c r="J2" s="42" t="inlineStr">
        <is>
          <t>25일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2.404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44.4</v>
      </c>
      <c r="D6" s="19" t="n">
        <v>44.7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85.7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1.63</v>
      </c>
      <c r="D10" s="20" t="n">
        <v>1.65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1.63</v>
      </c>
      <c r="D15" s="19" t="n">
        <v>1.65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4.36</v>
      </c>
      <c r="D16" s="20" t="n">
        <v>4.42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13.57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13.26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11.25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13.14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13.43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13.7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3.87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1.24</v>
      </c>
      <c r="D27" s="21" t="n">
        <v>1.19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47.96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49.54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0.07000000000000001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38.1823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2.xml><?xml version="1.0" encoding="utf-8"?>
<worksheet xmlns="http://schemas.openxmlformats.org/spreadsheetml/2006/main">
  <sheetPr codeName="Sheet32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06월</t>
        </is>
      </c>
      <c r="J2" s="42" t="inlineStr">
        <is>
          <t>26일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2.576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40.3</v>
      </c>
      <c r="D6" s="19" t="n">
        <v>40.6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4.33</v>
      </c>
      <c r="D16" s="20" t="n">
        <v>4.39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13.56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13.25</v>
      </c>
      <c r="D18" s="20" t="n">
        <v>12.84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11.27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13.13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13.42</v>
      </c>
      <c r="D21" s="20" t="n">
        <v>12.94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13.68</v>
      </c>
      <c r="D22" s="28" t="n">
        <v>13.44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1.28</v>
      </c>
      <c r="D27" s="21" t="n">
        <v>1.22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48.14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49.77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0.09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41.9145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3.xml><?xml version="1.0" encoding="utf-8"?>
<worksheet xmlns="http://schemas.openxmlformats.org/spreadsheetml/2006/main">
  <sheetPr codeName="Sheet33">
    <outlinePr summaryBelow="1" summaryRight="1"/>
    <pageSetUpPr fitToPage="1"/>
  </sheetPr>
  <dimension ref="A2:M37"/>
  <sheetViews>
    <sheetView zoomScale="85" zoomScaleNormal="85" zoomScaleSheetLayoutView="85" workbookViewId="0">
      <selection activeCell="D2" sqref="D2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07월</t>
        </is>
      </c>
      <c r="J2" s="42" t="inlineStr">
        <is>
          <t>31일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4.315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37.8</v>
      </c>
      <c r="D6" s="19" t="n">
        <v>38.2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82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4.31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13.53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13.21</v>
      </c>
      <c r="D18" s="20" t="n">
        <v>12.91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11.32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</v>
      </c>
      <c r="D20" s="20" t="n">
        <v>12.43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13.38</v>
      </c>
      <c r="D21" s="20" t="n">
        <v>12.99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13.62</v>
      </c>
      <c r="D22" s="28" t="n">
        <v>13.48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1.16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48.21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49.23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0.12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15.5448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4.xml><?xml version="1.0" encoding="utf-8"?>
<worksheet xmlns="http://schemas.openxmlformats.org/spreadsheetml/2006/main">
  <sheetPr codeName="Sheet34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08월</t>
        </is>
      </c>
      <c r="J2" s="42" t="inlineStr">
        <is>
          <t>29일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2.438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39.4</v>
      </c>
      <c r="D6" s="19" t="n">
        <v>39.7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4.33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13.56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13.24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11.29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13.13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13.41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13.67</v>
      </c>
      <c r="D22" s="28" t="n">
        <v>13.45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48.13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49.59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28.4119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5.xml><?xml version="1.0" encoding="utf-8"?>
<worksheet xmlns="http://schemas.openxmlformats.org/spreadsheetml/2006/main">
  <sheetPr codeName="Sheet35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09월</t>
        </is>
      </c>
      <c r="J2" s="42" t="inlineStr">
        <is>
          <t>26일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4.477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31.6</v>
      </c>
      <c r="D6" s="19" t="n">
        <v>31.9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85.2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4.27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13.49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13.17</v>
      </c>
      <c r="D18" s="20" t="n">
        <v>12.87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11.33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13.06</v>
      </c>
      <c r="D20" s="20" t="n">
        <v>12.4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13.32</v>
      </c>
      <c r="D21" s="20" t="n">
        <v>12.94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13.55</v>
      </c>
      <c r="D22" s="28" t="n">
        <v>13.43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3.91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1.21</v>
      </c>
      <c r="D27" s="21" t="n">
        <v>1.32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48.26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49.55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0.13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41.6907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6.xml><?xml version="1.0" encoding="utf-8"?>
<worksheet xmlns="http://schemas.openxmlformats.org/spreadsheetml/2006/main">
  <sheetPr codeName="Sheet36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10월</t>
        </is>
      </c>
      <c r="J2" s="42" t="inlineStr">
        <is>
          <t>30일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2.328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39.9</v>
      </c>
      <c r="D6" s="19" t="n">
        <v>40.2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4.32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13.55</v>
      </c>
      <c r="D17" s="20" t="n">
        <v>12.41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13.23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11.28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13.12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13.66</v>
      </c>
      <c r="D22" s="28" t="n">
        <v>13.45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1.25</v>
      </c>
      <c r="D27" s="21" t="n">
        <v>1.22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48.02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49.64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36.9197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7.xml><?xml version="1.0" encoding="utf-8"?>
<worksheet xmlns="http://schemas.openxmlformats.org/spreadsheetml/2006/main">
  <sheetPr codeName="Sheet37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2023</v>
      </c>
      <c r="H2" s="42" t="inlineStr">
        <is>
          <t>년</t>
        </is>
      </c>
      <c r="I2" s="42" t="inlineStr">
        <is>
          <t>12월</t>
        </is>
      </c>
      <c r="J2" s="42" t="inlineStr">
        <is>
          <t>27일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2.203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36.6</v>
      </c>
      <c r="D6" s="19" t="n">
        <v>37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85.40000000000001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4.32</v>
      </c>
      <c r="D16" s="20" t="n">
        <v>4.37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13.54</v>
      </c>
      <c r="D17" s="20" t="n">
        <v>12.38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13.22</v>
      </c>
      <c r="D18" s="20" t="n">
        <v>12.83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11.28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13.08</v>
      </c>
      <c r="D20" s="20" t="n">
        <v>12.36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13.38</v>
      </c>
      <c r="D21" s="20" t="n">
        <v>12.91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13.62</v>
      </c>
      <c r="D22" s="28" t="n">
        <v>13.41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1.25</v>
      </c>
      <c r="D27" s="21" t="n">
        <v>1.21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48.3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49.2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0.07000000000000001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27.4148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8.xml><?xml version="1.0" encoding="utf-8"?>
<worksheet xmlns="http://schemas.openxmlformats.org/spreadsheetml/2006/main">
  <sheetPr codeName="Sheet38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01월</t>
        </is>
      </c>
      <c r="J2" s="42" t="inlineStr">
        <is>
          <t>25일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2477.421</v>
      </c>
      <c r="G3" s="43" t="inlineStr">
        <is>
          <t>W</t>
        </is>
      </c>
      <c r="H3" s="44" t="inlineStr">
        <is>
          <t>REF</t>
        </is>
      </c>
      <c r="I3" s="13" t="n">
        <v>2.944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30.1</v>
      </c>
      <c r="D6" s="19" t="n">
        <v>30.4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</v>
      </c>
      <c r="D9" s="20" t="n">
        <v>81.3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1.58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1.58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4.35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13.44</v>
      </c>
      <c r="D17" s="20" t="n">
        <v>12.32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13.15</v>
      </c>
      <c r="D18" s="20" t="n">
        <v>12.78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12.06</v>
      </c>
      <c r="D19" s="20" t="n">
        <v>11.26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13.03</v>
      </c>
      <c r="D20" s="20" t="n">
        <v>12.31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</v>
      </c>
      <c r="D21" s="20" t="n">
        <v>12.86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13.54</v>
      </c>
      <c r="D22" s="28" t="n">
        <v>13.34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1.36</v>
      </c>
      <c r="D27" s="21" t="n">
        <v>1.31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48.24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49.52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30.9937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9.xml><?xml version="1.0" encoding="utf-8"?>
<worksheet xmlns="http://schemas.openxmlformats.org/spreadsheetml/2006/main">
  <sheetPr codeName="Sheet39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02월</t>
        </is>
      </c>
      <c r="J2" s="42" t="inlineStr">
        <is>
          <t>22일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4.667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24.7</v>
      </c>
      <c r="D6" s="19" t="n">
        <v>25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15.2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85.09999999999999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1.56</v>
      </c>
      <c r="D10" s="20" t="n">
        <v>1.58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5.22</v>
      </c>
      <c r="D11" s="20" t="n">
        <v>5.21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1.56</v>
      </c>
      <c r="D15" s="19" t="n">
        <v>1.58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4.24</v>
      </c>
      <c r="D16" s="20" t="n">
        <v>4.31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13.43</v>
      </c>
      <c r="D17" s="20" t="n">
        <v>12.34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13.15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11.35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13.03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13.27</v>
      </c>
      <c r="D21" s="20" t="n">
        <v>12.89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13.47</v>
      </c>
      <c r="D22" s="28" t="n">
        <v>13.34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3.92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4.07</v>
      </c>
      <c r="D26" s="20" t="n">
        <v>4.11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1.26</v>
      </c>
      <c r="D27" s="21" t="n">
        <v>1.35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48.05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49.08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42.8029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0.xml><?xml version="1.0" encoding="utf-8"?>
<worksheet xmlns="http://schemas.openxmlformats.org/spreadsheetml/2006/main">
  <sheetPr codeName="Sheet40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04월</t>
        </is>
      </c>
      <c r="J2" s="42" t="inlineStr">
        <is>
          <t>11일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4.581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32.9</v>
      </c>
      <c r="D6" s="19" t="n">
        <v>33.2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85.3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1.61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1.61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4.28</v>
      </c>
      <c r="D16" s="20" t="n">
        <v>4.35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13.49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13.18</v>
      </c>
      <c r="D18" s="20" t="n">
        <v>12.87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11.32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13.06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13.33</v>
      </c>
      <c r="D21" s="20" t="n">
        <v>12.92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13.56</v>
      </c>
      <c r="D22" s="28" t="n">
        <v>13.43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</v>
      </c>
      <c r="D27" s="21" t="n">
        <v>1.26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48.09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49.33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27.5371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1.xml><?xml version="1.0" encoding="utf-8"?>
<worksheet xmlns="http://schemas.openxmlformats.org/spreadsheetml/2006/main">
  <sheetPr codeName="Sheet41">
    <outlinePr summaryBelow="1" summaryRight="1"/>
    <pageSetUpPr fitToPage="1"/>
  </sheetPr>
  <dimension ref="A2:M37"/>
  <sheetViews>
    <sheetView zoomScale="85" zoomScaleNormal="85" zoomScaleSheetLayoutView="85" workbookViewId="0">
      <selection activeCell="A2" sqref="A2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05월</t>
        </is>
      </c>
      <c r="J2" s="42" t="inlineStr">
        <is>
          <t>23일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2.438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41.3</v>
      </c>
      <c r="D6" s="19" t="n">
        <v>41.6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4.33</v>
      </c>
      <c r="D16" s="20" t="n">
        <v>4.39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13.56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13.24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11.28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13.13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13.42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13.68</v>
      </c>
      <c r="D22" s="28" t="n">
        <v>13.46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48.24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49.31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0.08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32.2404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2.xml><?xml version="1.0" encoding="utf-8"?>
<worksheet xmlns="http://schemas.openxmlformats.org/spreadsheetml/2006/main">
  <sheetPr codeName="Sheet42">
    <outlinePr summaryBelow="1" summaryRight="1"/>
    <pageSetUpPr fitToPage="1"/>
  </sheetPr>
  <dimension ref="A2:M37"/>
  <sheetViews>
    <sheetView zoomScale="85" zoomScaleNormal="85" zoomScaleSheetLayoutView="85" workbookViewId="0">
      <selection activeCell="H17" sqref="H1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06월</t>
        </is>
      </c>
      <c r="J2" s="42" t="inlineStr">
        <is>
          <t>13일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2477.421</v>
      </c>
      <c r="G3" s="43" t="inlineStr">
        <is>
          <t>W</t>
        </is>
      </c>
      <c r="H3" s="44" t="inlineStr">
        <is>
          <t>REF</t>
        </is>
      </c>
      <c r="I3" s="13" t="n">
        <v>4.14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38.9</v>
      </c>
      <c r="D6" s="19" t="n">
        <v>39.2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85.59999999999999</v>
      </c>
      <c r="D9" s="20" t="n">
        <v>82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13.55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13.23</v>
      </c>
      <c r="D18" s="20" t="n">
        <v>12.91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12.12</v>
      </c>
      <c r="D19" s="20" t="n">
        <v>11.32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13.12</v>
      </c>
      <c r="D20" s="20" t="n">
        <v>12.43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</v>
      </c>
      <c r="D21" s="20" t="n">
        <v>12.98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13.64</v>
      </c>
      <c r="D22" s="28" t="n">
        <v>13.49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1.14</v>
      </c>
      <c r="D27" s="21" t="n">
        <v>1.17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48.11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49.24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0.12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26.4806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3.xml><?xml version="1.0" encoding="utf-8"?>
<worksheet xmlns="http://schemas.openxmlformats.org/spreadsheetml/2006/main">
  <sheetPr codeName="Sheet43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07월</t>
        </is>
      </c>
      <c r="J2" s="42" t="inlineStr">
        <is>
          <t>25일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2.46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41.5</v>
      </c>
      <c r="D6" s="19" t="n">
        <v>41.8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85.7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4.33</v>
      </c>
      <c r="D16" s="20" t="n">
        <v>4.39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13.57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13.26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12.12</v>
      </c>
      <c r="D19" s="20" t="n">
        <v>11.28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13.15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13.44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13.69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48.21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49.45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0.06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33.7419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4.xml><?xml version="1.0" encoding="utf-8"?>
<worksheet xmlns="http://schemas.openxmlformats.org/spreadsheetml/2006/main">
  <sheetPr codeName="Sheet44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08월</t>
        </is>
      </c>
      <c r="J2" s="42" t="inlineStr">
        <is>
          <t>19일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4.375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35</v>
      </c>
      <c r="D6" s="19" t="n">
        <v>35.3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85.2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1.61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1.61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4.27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13.49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13.18</v>
      </c>
      <c r="D18" s="20" t="n">
        <v>12.88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11.32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13.06</v>
      </c>
      <c r="D20" s="20" t="n">
        <v>12.4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13.34</v>
      </c>
      <c r="D21" s="20" t="n">
        <v>12.93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13.56</v>
      </c>
      <c r="D22" s="28" t="n">
        <v>13.43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</v>
      </c>
      <c r="D27" s="21" t="n">
        <v>1.29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48.26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49.31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0.13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19.1329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5.xml><?xml version="1.0" encoding="utf-8"?>
<worksheet xmlns="http://schemas.openxmlformats.org/spreadsheetml/2006/main">
  <sheetPr codeName="Sheet45">
    <outlinePr summaryBelow="1" summaryRight="1"/>
    <pageSetUpPr fitToPage="1"/>
  </sheetPr>
  <dimension ref="A2:M37"/>
  <sheetViews>
    <sheetView zoomScale="85" zoomScaleNormal="85" zoomScaleSheetLayoutView="85" workbookViewId="0">
      <selection activeCell="N21" sqref="N2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09월</t>
        </is>
      </c>
      <c r="J2" s="42" t="inlineStr">
        <is>
          <t>26일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2477.421</v>
      </c>
      <c r="G3" s="43" t="inlineStr">
        <is>
          <t>W</t>
        </is>
      </c>
      <c r="H3" s="44" t="inlineStr">
        <is>
          <t>REF</t>
        </is>
      </c>
      <c r="I3" s="13" t="n">
        <v>2.382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38.7</v>
      </c>
      <c r="D6" s="19" t="n">
        <v>39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4.31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13.55</v>
      </c>
      <c r="D17" s="20" t="n">
        <v>12.41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13.24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11.28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13.13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13.41</v>
      </c>
      <c r="D21" s="20" t="n">
        <v>12.94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13.67</v>
      </c>
      <c r="D22" s="28" t="n">
        <v>13.44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48.17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49.36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0.09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37.1424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6.xml><?xml version="1.0" encoding="utf-8"?>
<worksheet xmlns="http://schemas.openxmlformats.org/spreadsheetml/2006/main">
  <sheetPr codeName="Sheet46">
    <outlinePr summaryBelow="1" summaryRight="1"/>
    <pageSetUpPr fitToPage="1"/>
  </sheetPr>
  <dimension ref="A2:M37"/>
  <sheetViews>
    <sheetView zoomScale="85" zoomScaleNormal="85" zoomScaleSheetLayoutView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9"/>
    <col width="9" customWidth="1" style="1" min="20" max="16384"/>
  </cols>
  <sheetData>
    <row r="2" ht="37.5" customHeight="1" s="55">
      <c r="A2" s="41" t="inlineStr">
        <is>
          <t>1HD TX-A</t>
        </is>
      </c>
      <c r="B2" s="52" t="n"/>
      <c r="G2" s="42" t="n">
        <v>2024</v>
      </c>
      <c r="H2" s="42" t="inlineStr">
        <is>
          <t>년</t>
        </is>
      </c>
      <c r="I2" s="42" t="inlineStr">
        <is>
          <t>10월</t>
        </is>
      </c>
      <c r="J2" s="42" t="inlineStr">
        <is>
          <t>24일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13" t="n">
        <v>2488.857</v>
      </c>
      <c r="G3" s="43" t="inlineStr">
        <is>
          <t>W</t>
        </is>
      </c>
      <c r="H3" s="44" t="inlineStr">
        <is>
          <t>REF</t>
        </is>
      </c>
      <c r="I3" s="13" t="n">
        <v>2.35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6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3" t="n"/>
      <c r="G5" s="80" t="n"/>
      <c r="H5" s="53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41.9</v>
      </c>
      <c r="D6" s="19" t="n">
        <v>42.2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4.33</v>
      </c>
      <c r="D16" s="20" t="n">
        <v>4.39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13.55</v>
      </c>
      <c r="D17" s="20" t="n">
        <v>12.41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13.24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11.27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13.13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13.42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13.68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1.26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51" t="inlineStr">
        <is>
          <t>Shoulder Distance :</t>
        </is>
      </c>
      <c r="C31" s="1" t="n">
        <v>45</v>
      </c>
      <c r="D31" s="52" t="inlineStr">
        <is>
          <t>dB</t>
        </is>
      </c>
      <c r="J31" s="9" t="n"/>
    </row>
    <row r="32">
      <c r="A32" s="51" t="inlineStr">
        <is>
          <t>Shoulder Left :</t>
        </is>
      </c>
      <c r="C32" s="1" t="n">
        <v>48.17</v>
      </c>
      <c r="D32" s="52" t="inlineStr">
        <is>
          <t>dB</t>
        </is>
      </c>
      <c r="J32" s="9" t="n"/>
    </row>
    <row r="33">
      <c r="A33" s="52" t="inlineStr">
        <is>
          <t>Shoulder Right :</t>
        </is>
      </c>
      <c r="C33" s="1" t="n">
        <v>49.44</v>
      </c>
      <c r="D33" s="52" t="inlineStr">
        <is>
          <t>dB</t>
        </is>
      </c>
      <c r="J33" s="9" t="n"/>
    </row>
    <row r="34">
      <c r="A34" s="51" t="inlineStr">
        <is>
          <t>Measured Ripple :</t>
        </is>
      </c>
      <c r="C34" s="1" t="n">
        <v>0.08</v>
      </c>
      <c r="D34" s="52" t="inlineStr">
        <is>
          <t>dB</t>
        </is>
      </c>
      <c r="J34" s="9" t="n"/>
    </row>
    <row r="35">
      <c r="A35" s="51" t="inlineStr">
        <is>
          <t>Measured Group Delay :</t>
        </is>
      </c>
      <c r="C35" s="1" t="n">
        <v>34.3501</v>
      </c>
      <c r="D35" s="52" t="inlineStr">
        <is>
          <t>ns</t>
        </is>
      </c>
      <c r="J35" s="9" t="n"/>
    </row>
    <row r="36">
      <c r="A36" s="8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7.xml><?xml version="1.0" encoding="utf-8"?>
<worksheet xmlns="http://schemas.openxmlformats.org/spreadsheetml/2006/main">
  <sheetPr codeName="Sheet47">
    <outlinePr summaryBelow="1" summaryRight="1"/>
    <pageSetUpPr fitToPage="1"/>
  </sheetPr>
  <dimension ref="A2:M37"/>
  <sheetViews>
    <sheetView zoomScale="85" zoomScaleNormal="85" zoomScaleSheetLayoutView="85" workbookViewId="0">
      <selection activeCell="H9" sqref="H9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2024</v>
      </c>
      <c r="H2" s="42" t="inlineStr">
        <is>
          <t>년</t>
        </is>
      </c>
      <c r="I2" s="42" t="inlineStr">
        <is>
          <t>11월</t>
        </is>
      </c>
      <c r="J2" s="42" t="inlineStr">
        <is>
          <t>21일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4.315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36.2</v>
      </c>
      <c r="D6" s="19" t="n">
        <v>36.5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85.3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4.28</v>
      </c>
      <c r="D16" s="20" t="n">
        <v>4.35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13.51</v>
      </c>
      <c r="D17" s="20" t="n">
        <v>12.4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13.19</v>
      </c>
      <c r="D18" s="20" t="n">
        <v>12.88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11.31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13.08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13.36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</v>
      </c>
      <c r="D22" s="28" t="n">
        <v>13.46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1.15</v>
      </c>
      <c r="D27" s="21" t="n">
        <v>1.19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48.12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49.24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0.14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38.4237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8.xml><?xml version="1.0" encoding="utf-8"?>
<worksheet xmlns="http://schemas.openxmlformats.org/spreadsheetml/2006/main">
  <sheetPr codeName="Sheet48">
    <outlinePr summaryBelow="1" summaryRight="1"/>
    <pageSetUpPr fitToPage="1"/>
  </sheetPr>
  <dimension ref="A2:M37"/>
  <sheetViews>
    <sheetView zoomScale="85" zoomScaleNormal="85" zoomScaleSheetLayoutView="85" workbookViewId="0">
      <selection activeCell="L6" sqref="L6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2024</v>
      </c>
      <c r="H2" s="42" t="inlineStr">
        <is>
          <t>년</t>
        </is>
      </c>
      <c r="I2" s="42" t="inlineStr">
        <is>
          <t>12월</t>
        </is>
      </c>
      <c r="J2" s="42" t="inlineStr">
        <is>
          <t>02일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2.223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36.6</v>
      </c>
      <c r="D6" s="19" t="n">
        <v>36.9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85.40000000000001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</v>
      </c>
      <c r="D10" s="20" t="n">
        <v>1.62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</v>
      </c>
      <c r="D15" s="19" t="n">
        <v>1.62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4.36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13.51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13.21</v>
      </c>
      <c r="D18" s="20" t="n">
        <v>12.83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11.29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13.09</v>
      </c>
      <c r="D20" s="20" t="n">
        <v>12.36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13.37</v>
      </c>
      <c r="D21" s="20" t="n">
        <v>12.92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13.63</v>
      </c>
      <c r="D22" s="28" t="n">
        <v>13.42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1.28</v>
      </c>
      <c r="D27" s="21" t="n">
        <v>1.24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48.24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49.51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0.07000000000000001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35.9862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9.xml><?xml version="1.0" encoding="utf-8"?>
<worksheet xmlns="http://schemas.openxmlformats.org/spreadsheetml/2006/main">
  <sheetPr codeName="Sheet50">
    <outlinePr summaryBelow="1" summaryRight="1"/>
    <pageSetUpPr fitToPage="1"/>
  </sheetPr>
  <dimension ref="A2:M37"/>
  <sheetViews>
    <sheetView zoomScale="85" zoomScaleNormal="85" zoomScaleSheetLayoutView="85" workbookViewId="0">
      <selection activeCell="M7" sqref="M7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01월</t>
        </is>
      </c>
      <c r="J2" s="42" t="inlineStr">
        <is>
          <t>09일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4.519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24.6</v>
      </c>
      <c r="D6" s="19" t="n">
        <v>24.9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15.2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84.90000000000001</v>
      </c>
      <c r="D9" s="20" t="n">
        <v>81.5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1.56</v>
      </c>
      <c r="D10" s="20" t="n">
        <v>1.58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5.22</v>
      </c>
      <c r="D11" s="20" t="n">
        <v>5.21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1.56</v>
      </c>
      <c r="D15" s="19" t="n">
        <v>1.58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4.23</v>
      </c>
      <c r="D16" s="20" t="n">
        <v>4.3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</v>
      </c>
      <c r="D17" s="20" t="n">
        <v>12.32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13.12</v>
      </c>
      <c r="D18" s="20" t="n">
        <v>12.82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12.07</v>
      </c>
      <c r="D19" s="20" t="n">
        <v>11.34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</v>
      </c>
      <c r="D20" s="20" t="n">
        <v>12.35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13.26</v>
      </c>
      <c r="D21" s="20" t="n">
        <v>12.86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13.46</v>
      </c>
      <c r="D22" s="28" t="n">
        <v>13.33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3.92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1.24</v>
      </c>
      <c r="D27" s="21" t="n">
        <v>1.33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47.33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48.64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25.0457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0.xml><?xml version="1.0" encoding="utf-8"?>
<worksheet xmlns="http://schemas.openxmlformats.org/spreadsheetml/2006/main">
  <sheetPr codeName="Sheet49">
    <outlinePr summaryBelow="1" summaryRight="1"/>
    <pageSetUpPr fitToPage="1"/>
  </sheetPr>
  <dimension ref="A2:M37"/>
  <sheetViews>
    <sheetView zoomScale="85" zoomScaleNormal="85" zoomScaleSheetLayoutView="85" workbookViewId="0">
      <selection activeCell="M10" sqref="M10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02월</t>
        </is>
      </c>
      <c r="J2" s="42" t="inlineStr">
        <is>
          <t>24일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2477.421</v>
      </c>
      <c r="G3" s="43" t="inlineStr">
        <is>
          <t>W</t>
        </is>
      </c>
      <c r="H3" s="44" t="inlineStr">
        <is>
          <t>REF</t>
        </is>
      </c>
      <c r="I3" s="43" t="n">
        <v>2.223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31.4</v>
      </c>
      <c r="D6" s="19" t="n">
        <v>31.7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</v>
      </c>
      <c r="D9" s="20" t="n">
        <v>81.5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1.61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1.61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4.28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13.44</v>
      </c>
      <c r="D17" s="20" t="n">
        <v>12.34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13.15</v>
      </c>
      <c r="D18" s="20" t="n">
        <v>12.8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12.06</v>
      </c>
      <c r="D19" s="20" t="n">
        <v>11.29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13.04</v>
      </c>
      <c r="D20" s="20" t="n">
        <v>12.33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</v>
      </c>
      <c r="D21" s="20" t="n">
        <v>12.88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13.55</v>
      </c>
      <c r="D22" s="28" t="n">
        <v>13.37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1.3</v>
      </c>
      <c r="D27" s="21" t="n">
        <v>1.27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47.5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49.03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0.07000000000000001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31.4227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1.xml><?xml version="1.0" encoding="utf-8"?>
<worksheet xmlns="http://schemas.openxmlformats.org/spreadsheetml/2006/main">
  <sheetPr codeName="Sheet51">
    <outlinePr summaryBelow="1" summaryRight="1"/>
    <pageSetUpPr fitToPage="1"/>
  </sheetPr>
  <dimension ref="A2:M37"/>
  <sheetViews>
    <sheetView zoomScale="85" zoomScaleNormal="85" zoomScaleSheetLayoutView="85" workbookViewId="0">
      <selection activeCell="K10" sqref="K10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03월</t>
        </is>
      </c>
      <c r="J2" s="42" t="inlineStr">
        <is>
          <t>17일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4.519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32.5</v>
      </c>
      <c r="D6" s="19" t="n">
        <v>32.7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85.09999999999999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1.61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1.61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4.27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13.46</v>
      </c>
      <c r="D17" s="20" t="n">
        <v>12.38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13.16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12.07</v>
      </c>
      <c r="D19" s="20" t="n">
        <v>11.31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13.04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13.31</v>
      </c>
      <c r="D21" s="20" t="n">
        <v>12.92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13.55</v>
      </c>
      <c r="D22" s="28" t="n">
        <v>13.42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1.16</v>
      </c>
      <c r="D27" s="21" t="n">
        <v>1.2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47.77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49.07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25.8581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2.xml><?xml version="1.0" encoding="utf-8"?>
<worksheet xmlns="http://schemas.openxmlformats.org/spreadsheetml/2006/main">
  <sheetPr codeName="Sheet52">
    <outlinePr summaryBelow="1" summaryRight="1"/>
    <pageSetUpPr fitToPage="1"/>
  </sheetPr>
  <dimension ref="A2:M37"/>
  <sheetViews>
    <sheetView zoomScale="85" zoomScaleNormal="85" zoomScaleSheetLayoutView="85" workbookViewId="0">
      <selection activeCell="P9" sqref="P9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04월</t>
        </is>
      </c>
      <c r="J2" s="42" t="inlineStr">
        <is>
          <t>14일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2.46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32.5</v>
      </c>
      <c r="D6" s="19" t="n">
        <v>32.8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85.09999999999999</v>
      </c>
      <c r="D9" s="20" t="n">
        <v>81.5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1.61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1.61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4.27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13.47</v>
      </c>
      <c r="D17" s="20" t="n">
        <v>12.35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13.17</v>
      </c>
      <c r="D18" s="20" t="n">
        <v>12.8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12.06</v>
      </c>
      <c r="D19" s="20" t="n">
        <v>11.29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13.04</v>
      </c>
      <c r="D20" s="20" t="n">
        <v>12.34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13.31</v>
      </c>
      <c r="D21" s="20" t="n">
        <v>12.9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13.57</v>
      </c>
      <c r="D22" s="28" t="n">
        <v>13.38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1.32</v>
      </c>
      <c r="D27" s="21" t="n">
        <v>1.26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47.76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49.29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0.07000000000000001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38.5018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3.xml><?xml version="1.0" encoding="utf-8"?>
<worksheet xmlns="http://schemas.openxmlformats.org/spreadsheetml/2006/main">
  <sheetPr codeName="Sheet53">
    <outlinePr summaryBelow="1" summaryRight="1"/>
    <pageSetUpPr fitToPage="1"/>
  </sheetPr>
  <dimension ref="A2:M37"/>
  <sheetViews>
    <sheetView zoomScale="85" zoomScaleNormal="85" zoomScaleSheetLayoutView="85" workbookViewId="0">
      <selection activeCell="S18" sqref="S18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05월</t>
        </is>
      </c>
      <c r="J2" s="42" t="inlineStr">
        <is>
          <t>22일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4.276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38.5</v>
      </c>
      <c r="D6" s="19" t="n">
        <v>38.8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82.2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4.37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13.54</v>
      </c>
      <c r="D17" s="20" t="n">
        <v>12.46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13.21</v>
      </c>
      <c r="D18" s="20" t="n">
        <v>12.94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12.12</v>
      </c>
      <c r="D19" s="20" t="n">
        <v>11.34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13.11</v>
      </c>
      <c r="D20" s="20" t="n">
        <v>12.45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13.39</v>
      </c>
      <c r="D21" s="20" t="n">
        <v>13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13.63</v>
      </c>
      <c r="D22" s="28" t="n">
        <v>13.52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1.16</v>
      </c>
      <c r="D27" s="21" t="n">
        <v>1.22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48.09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49.35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22.4995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4.xml><?xml version="1.0" encoding="utf-8"?>
<worksheet xmlns="http://schemas.openxmlformats.org/spreadsheetml/2006/main">
  <sheetPr codeName="Sheet54">
    <outlinePr summaryBelow="1" summaryRight="1"/>
    <pageSetUpPr fitToPage="1"/>
  </sheetPr>
  <dimension ref="A2:M37"/>
  <sheetViews>
    <sheetView zoomScale="85" zoomScaleNormal="85" zoomScaleSheetLayoutView="85" workbookViewId="0">
      <selection activeCell="S24" sqref="S24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06월</t>
        </is>
      </c>
      <c r="J2" s="42" t="inlineStr">
        <is>
          <t>16일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2500.345</v>
      </c>
      <c r="G3" s="43" t="inlineStr">
        <is>
          <t>W</t>
        </is>
      </c>
      <c r="H3" s="44" t="inlineStr">
        <is>
          <t>REF</t>
        </is>
      </c>
      <c r="I3" s="43" t="n">
        <v>2.382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40.2</v>
      </c>
      <c r="D6" s="19" t="n">
        <v>40.5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13.55</v>
      </c>
      <c r="D17" s="20" t="n">
        <v>12.43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13.23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12.11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13.12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13.41</v>
      </c>
      <c r="D21" s="20" t="n">
        <v>12.96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13.66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1.28</v>
      </c>
      <c r="D27" s="21" t="n">
        <v>1.24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47.73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49.29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0.06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33.2052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5.xml><?xml version="1.0" encoding="utf-8"?>
<worksheet xmlns="http://schemas.openxmlformats.org/spreadsheetml/2006/main">
  <sheetPr codeName="Sheet55">
    <outlinePr summaryBelow="1" summaryRight="1"/>
    <pageSetUpPr fitToPage="1"/>
  </sheetPr>
  <dimension ref="A2:M37"/>
  <sheetViews>
    <sheetView zoomScale="85" zoomScaleNormal="85" zoomScaleSheetLayoutView="85" workbookViewId="0">
      <selection activeCell="O23" sqref="O23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07월</t>
        </is>
      </c>
      <c r="J2" s="42" t="inlineStr">
        <is>
          <t>14일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2477.421</v>
      </c>
      <c r="G3" s="43" t="inlineStr">
        <is>
          <t>W</t>
        </is>
      </c>
      <c r="H3" s="44" t="inlineStr">
        <is>
          <t>REF</t>
        </is>
      </c>
      <c r="I3" s="43" t="n">
        <v>4.083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38.5</v>
      </c>
      <c r="D6" s="19" t="n">
        <v>38.7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85.2</v>
      </c>
      <c r="D9" s="20" t="n">
        <v>81.59999999999999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4.28</v>
      </c>
      <c r="D16" s="20" t="n">
        <v>4.34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13.52</v>
      </c>
      <c r="D17" s="20" t="n">
        <v>12.36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13.17</v>
      </c>
      <c r="D18" s="20" t="n">
        <v>12.83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11.27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13.06</v>
      </c>
      <c r="D20" s="20" t="n">
        <v>12.37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13.36</v>
      </c>
      <c r="D21" s="20" t="n">
        <v>12.92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</v>
      </c>
      <c r="D22" s="28" t="n">
        <v>13.43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3.95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4.08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</v>
      </c>
      <c r="D27" s="21" t="n">
        <v>1.15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46.72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45.49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0.18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36.5867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6.xml><?xml version="1.0" encoding="utf-8"?>
<worksheet xmlns="http://schemas.openxmlformats.org/spreadsheetml/2006/main">
  <sheetPr codeName="Sheet56">
    <outlinePr summaryBelow="1" summaryRight="1"/>
    <pageSetUpPr fitToPage="1"/>
  </sheetPr>
  <dimension ref="A2:M37"/>
  <sheetViews>
    <sheetView zoomScale="85" zoomScaleNormal="85" zoomScaleSheetLayoutView="85" workbookViewId="0">
      <selection activeCell="M13" sqref="M13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08월</t>
        </is>
      </c>
      <c r="J2" s="42" t="inlineStr">
        <is>
          <t>04일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2.328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39.5</v>
      </c>
      <c r="D6" s="19" t="n">
        <v>39.7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85.2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4.36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13.54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13.21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12.07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13.06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13.36</v>
      </c>
      <c r="D21" s="20" t="n">
        <v>12.97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13.63</v>
      </c>
      <c r="D22" s="28" t="n">
        <v>13.46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1.24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47.88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49.76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0.06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38.0293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7.xml><?xml version="1.0" encoding="utf-8"?>
<worksheet xmlns="http://schemas.openxmlformats.org/spreadsheetml/2006/main">
  <sheetPr codeName="Sheet57">
    <outlinePr summaryBelow="1" summaryRight="1"/>
    <pageSetUpPr fitToPage="1"/>
  </sheetPr>
  <dimension ref="A2:M37"/>
  <sheetViews>
    <sheetView zoomScale="85" zoomScaleNormal="75" zoomScaleSheetLayoutView="85" workbookViewId="0">
      <selection activeCell="N20" sqref="N20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09월</t>
        </is>
      </c>
      <c r="J2" s="42" t="inlineStr">
        <is>
          <t>01일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2.254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39.3</v>
      </c>
      <c r="D6" s="19" t="n">
        <v>39.6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85.40000000000001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4.37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13.56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13.22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12.09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13.07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13.39</v>
      </c>
      <c r="D21" s="20" t="n">
        <v>12.96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13.64</v>
      </c>
      <c r="D22" s="28" t="n">
        <v>13.47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1.25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47.62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49.28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0.06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34.2003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8.xml><?xml version="1.0" encoding="utf-8"?>
<worksheet xmlns="http://schemas.openxmlformats.org/spreadsheetml/2006/main">
  <sheetPr codeName="Sheet57">
    <outlinePr summaryBelow="1" summaryRight="1"/>
    <pageSetUpPr fitToPage="1"/>
  </sheetPr>
  <dimension ref="A2:M37"/>
  <sheetViews>
    <sheetView zoomScale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10월</t>
        </is>
      </c>
      <c r="J2" s="42" t="inlineStr">
        <is>
          <t>20일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2.382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40.9</v>
      </c>
      <c r="D6" s="19" t="n">
        <v>41.2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13.57</v>
      </c>
      <c r="D17" s="20" t="n">
        <v>12.42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13.23</v>
      </c>
      <c r="D18" s="20" t="n">
        <v>12.87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13.08</v>
      </c>
      <c r="D20" s="20" t="n">
        <v>12.4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</v>
      </c>
      <c r="D21" s="20" t="n">
        <v>13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13.66</v>
      </c>
      <c r="D22" s="28" t="n">
        <v>13.49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1.24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46.8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48.71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0.04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32.0947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9.xml><?xml version="1.0" encoding="utf-8"?>
<worksheet xmlns="http://schemas.openxmlformats.org/spreadsheetml/2006/main">
  <sheetPr codeName="Sheet57">
    <outlinePr summaryBelow="1" summaryRight="1"/>
    <pageSetUpPr fitToPage="1"/>
  </sheetPr>
  <dimension ref="A2:M37"/>
  <sheetViews>
    <sheetView zoomScale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11월</t>
        </is>
      </c>
      <c r="J2" s="42" t="inlineStr">
        <is>
          <t>26일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2500.345</v>
      </c>
      <c r="G3" s="43" t="inlineStr">
        <is>
          <t>W</t>
        </is>
      </c>
      <c r="H3" s="44" t="inlineStr">
        <is>
          <t>REF</t>
        </is>
      </c>
      <c r="I3" s="43" t="n">
        <v>2.173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38.3</v>
      </c>
      <c r="D6" s="19" t="n">
        <v>38.6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85.3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1.61</v>
      </c>
      <c r="D10" s="20" t="n">
        <v>1.63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1.61</v>
      </c>
      <c r="D15" s="19" t="n">
        <v>1.63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4.29</v>
      </c>
      <c r="D16" s="20" t="n">
        <v>4.36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13.53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13.21</v>
      </c>
      <c r="D18" s="20" t="n">
        <v>12.85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13.06</v>
      </c>
      <c r="D20" s="20" t="n">
        <v>12.38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13.38</v>
      </c>
      <c r="D21" s="20" t="n">
        <v>12.95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13.63</v>
      </c>
      <c r="D22" s="28" t="n">
        <v>13.46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4.05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1.26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46.41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48.39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0.06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38.9287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0.xml><?xml version="1.0" encoding="utf-8"?>
<worksheet xmlns="http://schemas.openxmlformats.org/spreadsheetml/2006/main">
  <sheetPr codeName="Sheet57">
    <outlinePr summaryBelow="1" summaryRight="1"/>
    <pageSetUpPr fitToPage="1"/>
  </sheetPr>
  <dimension ref="A2:M37"/>
  <sheetViews>
    <sheetView zoomScale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2025</v>
      </c>
      <c r="H2" s="42" t="inlineStr">
        <is>
          <t>년</t>
        </is>
      </c>
      <c r="I2" s="42" t="inlineStr">
        <is>
          <t>12월</t>
        </is>
      </c>
      <c r="J2" s="42" t="inlineStr">
        <is>
          <t>22일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4.775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31.5</v>
      </c>
      <c r="D6" s="19" t="n">
        <v>31.8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85.09999999999999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1.59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1.59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4.24</v>
      </c>
      <c r="D16" s="20" t="n">
        <v>4.33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13.47</v>
      </c>
      <c r="D17" s="20" t="n">
        <v>12.39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13.16</v>
      </c>
      <c r="D18" s="20" t="n">
        <v>12.88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11.37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</v>
      </c>
      <c r="D20" s="20" t="n">
        <v>12.41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</v>
      </c>
      <c r="D21" s="20" t="n">
        <v>12.96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13.53</v>
      </c>
      <c r="D22" s="28" t="n">
        <v>13.44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3.92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4.11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1.18</v>
      </c>
      <c r="D27" s="21" t="n">
        <v>1.24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46.18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48.12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30.8768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1.xml><?xml version="1.0" encoding="utf-8"?>
<worksheet xmlns="http://schemas.openxmlformats.org/spreadsheetml/2006/main">
  <sheetPr codeName="Sheet57">
    <outlinePr summaryBelow="1" summaryRight="1"/>
    <pageSetUpPr fitToPage="1"/>
  </sheetPr>
  <dimension ref="A2:M37"/>
  <sheetViews>
    <sheetView zoomScale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2026</v>
      </c>
      <c r="H2" s="42" t="inlineStr">
        <is>
          <t>년</t>
        </is>
      </c>
      <c r="I2" s="42" t="inlineStr">
        <is>
          <t>01월</t>
        </is>
      </c>
      <c r="J2" s="42" t="inlineStr">
        <is>
          <t>19일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2.254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30.1</v>
      </c>
      <c r="D6" s="19" t="n">
        <v>30.4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</v>
      </c>
      <c r="D9" s="20" t="n">
        <v>81.40000000000001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1.58</v>
      </c>
      <c r="D10" s="20" t="n">
        <v>1.6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5.21</v>
      </c>
      <c r="D11" s="20" t="n">
        <v>5.2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1.58</v>
      </c>
      <c r="D15" s="19" t="n">
        <v>1.6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4.24</v>
      </c>
      <c r="D16" s="20" t="n">
        <v>4.32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13.47</v>
      </c>
      <c r="D17" s="20" t="n">
        <v>12.33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13.17</v>
      </c>
      <c r="D18" s="20" t="n">
        <v>12.79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11.3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13.01</v>
      </c>
      <c r="D20" s="20" t="n">
        <v>12.33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13.3</v>
      </c>
      <c r="D21" s="20" t="n">
        <v>12.89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13.55</v>
      </c>
      <c r="D22" s="28" t="n">
        <v>13.36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1.31</v>
      </c>
      <c r="D27" s="21" t="n">
        <v>1.26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46.41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48.06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45.1279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2.xml><?xml version="1.0" encoding="utf-8"?>
<worksheet xmlns="http://schemas.openxmlformats.org/spreadsheetml/2006/main">
  <sheetPr codeName="Sheet57">
    <outlinePr summaryBelow="1" summaryRight="1"/>
    <pageSetUpPr fitToPage="1"/>
  </sheetPr>
  <dimension ref="A2:M37"/>
  <sheetViews>
    <sheetView tabSelected="1" zoomScale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2" ht="37.5" customHeight="1" s="55">
      <c r="A2" s="1" t="inlineStr">
        <is>
          <t>1HD TX-A</t>
        </is>
      </c>
      <c r="G2" s="42" t="n">
        <v>2026</v>
      </c>
      <c r="H2" s="42" t="inlineStr">
        <is>
          <t>년</t>
        </is>
      </c>
      <c r="I2" s="42" t="inlineStr">
        <is>
          <t>02월</t>
        </is>
      </c>
      <c r="J2" s="42" t="inlineStr">
        <is>
          <t>23일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2488.857</v>
      </c>
      <c r="G3" s="43" t="inlineStr">
        <is>
          <t>W</t>
        </is>
      </c>
      <c r="H3" s="44" t="inlineStr">
        <is>
          <t>REF</t>
        </is>
      </c>
      <c r="I3" s="43" t="n">
        <v>4.624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28.9</v>
      </c>
      <c r="D6" s="19" t="n">
        <v>29.2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15.4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43.5</v>
      </c>
      <c r="D8" s="20" t="n">
        <v>43.5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</v>
      </c>
      <c r="D9" s="20" t="n">
        <v>81.8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1.58</v>
      </c>
      <c r="D10" s="20" t="n">
        <v>1.59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5.22</v>
      </c>
      <c r="D11" s="20" t="n">
        <v>5.21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3.44</v>
      </c>
      <c r="D12" s="20" t="n">
        <v>3.46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1.58</v>
      </c>
      <c r="D15" s="19" t="n">
        <v>1.59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4.23</v>
      </c>
      <c r="D16" s="20" t="n">
        <v>4.32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13.45</v>
      </c>
      <c r="D17" s="20" t="n">
        <v>12.37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13.14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12.08</v>
      </c>
      <c r="D19" s="20" t="n">
        <v>11.37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13.28</v>
      </c>
      <c r="D21" s="20" t="n">
        <v>12.93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13.5</v>
      </c>
      <c r="D22" s="28" t="n">
        <v>13.41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3.97</v>
      </c>
      <c r="D23" s="19" t="n">
        <v>3.92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4.07</v>
      </c>
      <c r="D26" s="20" t="n">
        <v>4.11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</v>
      </c>
      <c r="D27" s="21" t="n">
        <v>1.26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45.93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47.39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0.1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24.6669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14:J14"/>
    <mergeCell ref="I8:J8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3.xml><?xml version="1.0" encoding="utf-8"?>
<worksheet xmlns="http://schemas.openxmlformats.org/spreadsheetml/2006/main">
  <sheetPr codeName="Sheet57">
    <outlinePr summaryBelow="1" summaryRight="1"/>
    <pageSetUpPr fitToPage="1"/>
  </sheetPr>
  <dimension ref="A1:N37"/>
  <sheetViews>
    <sheetView zoomScale="85" workbookViewId="0">
      <selection activeCell="A1" sqref="A1"/>
    </sheetView>
  </sheetViews>
  <sheetFormatPr baseColWidth="8" defaultColWidth="9" defaultRowHeight="17.25" outlineLevelRow="1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7"/>
    <col width="9" customWidth="1" style="1" min="18" max="16384"/>
  </cols>
  <sheetData>
    <row r="1"/>
    <row r="2" ht="37.5" customHeight="1" s="55">
      <c r="A2" s="1" t="inlineStr">
        <is>
          <t>1HD TX-A</t>
        </is>
      </c>
      <c r="G2" s="42" t="n">
        <v>2026</v>
      </c>
      <c r="H2" s="42" t="inlineStr">
        <is>
          <t>년</t>
        </is>
      </c>
      <c r="I2" s="42" t="inlineStr">
        <is>
          <t>03월</t>
        </is>
      </c>
      <c r="J2" s="42" t="inlineStr">
        <is>
          <t>23일</t>
        </is>
      </c>
    </row>
    <row r="3" ht="33" customHeight="1" s="55">
      <c r="A3" s="71" t="inlineStr">
        <is>
          <t>매    체</t>
        </is>
      </c>
      <c r="B3" s="72" t="n"/>
      <c r="C3" s="76" t="inlineStr">
        <is>
          <t>HD 1  TX A</t>
        </is>
      </c>
      <c r="D3" s="72" t="n"/>
      <c r="E3" s="43" t="inlineStr">
        <is>
          <t>FWD</t>
        </is>
      </c>
      <c r="F3" s="43" t="n">
        <v>2500.345</v>
      </c>
      <c r="G3" s="43" t="inlineStr">
        <is>
          <t>W</t>
        </is>
      </c>
      <c r="H3" s="44" t="inlineStr">
        <is>
          <t>REF</t>
        </is>
      </c>
      <c r="I3" s="43" t="n">
        <v>2.35</v>
      </c>
      <c r="J3" s="45" t="inlineStr">
        <is>
          <t>W</t>
        </is>
      </c>
    </row>
    <row r="4" hidden="1" outlineLevel="1" ht="33" customHeight="1" s="55">
      <c r="A4" s="33" t="n"/>
      <c r="B4" s="34" t="n"/>
      <c r="C4" s="35" t="n"/>
      <c r="D4" s="34" t="n"/>
      <c r="E4" s="37" t="n"/>
      <c r="F4" s="37" t="n"/>
      <c r="G4" s="37" t="n"/>
      <c r="H4" s="37" t="n"/>
      <c r="I4" s="37" t="n"/>
      <c r="J4" s="38" t="n"/>
      <c r="M4" s="1">
        <f>#REF!</f>
        <v/>
      </c>
    </row>
    <row r="5" collapsed="1" ht="23.25" customHeight="1" s="55">
      <c r="A5" s="73" t="inlineStr">
        <is>
          <t>ANT  /  DL</t>
        </is>
      </c>
      <c r="B5" s="74" t="n"/>
      <c r="C5" s="46" t="inlineStr">
        <is>
          <t>AMP 1</t>
        </is>
      </c>
      <c r="D5" s="54" t="inlineStr">
        <is>
          <t>AMP 2</t>
        </is>
      </c>
      <c r="E5" s="80" t="n"/>
      <c r="F5" s="54" t="n"/>
      <c r="G5" s="80" t="n"/>
      <c r="H5" s="54" t="n"/>
      <c r="I5" s="75" t="inlineStr">
        <is>
          <t>비 고</t>
        </is>
      </c>
      <c r="J5" s="74" t="n"/>
    </row>
    <row r="6" ht="23.25" customHeight="1" s="55">
      <c r="A6" s="64" t="inlineStr">
        <is>
          <t>Supply</t>
        </is>
      </c>
      <c r="B6" s="47" t="inlineStr">
        <is>
          <t>AMP Temp [°C]</t>
        </is>
      </c>
      <c r="C6" s="2" t="n">
        <v>42.4</v>
      </c>
      <c r="D6" s="19" t="n">
        <v>42.7</v>
      </c>
      <c r="E6" s="2" t="n"/>
      <c r="F6" s="19" t="n"/>
      <c r="G6" s="2" t="n"/>
      <c r="H6" s="19" t="n"/>
      <c r="I6" s="58" t="n"/>
      <c r="J6" s="59" t="n"/>
    </row>
    <row r="7" ht="23.25" customHeight="1" s="55">
      <c r="A7" s="65" t="n"/>
      <c r="B7" s="48" t="inlineStr">
        <is>
          <t>V Aux in [V]</t>
        </is>
      </c>
      <c r="C7" s="3" t="n">
        <v>15.5</v>
      </c>
      <c r="D7" s="20" t="n">
        <v>15.3</v>
      </c>
      <c r="E7" s="3" t="n"/>
      <c r="F7" s="20" t="n"/>
      <c r="G7" s="3" t="n"/>
      <c r="H7" s="20" t="n"/>
      <c r="I7" s="60" t="n"/>
      <c r="J7" s="61" t="n"/>
    </row>
    <row r="8" ht="23.25" customHeight="1" s="55">
      <c r="A8" s="65" t="n"/>
      <c r="B8" s="48" t="inlineStr">
        <is>
          <t>V+ Mon [V]</t>
        </is>
      </c>
      <c r="C8" s="3" t="n">
        <v>43.4</v>
      </c>
      <c r="D8" s="20" t="n">
        <v>43.4</v>
      </c>
      <c r="E8" s="3" t="n"/>
      <c r="F8" s="20" t="n"/>
      <c r="G8" s="3" t="n"/>
      <c r="H8" s="20" t="n"/>
      <c r="I8" s="62" t="n"/>
      <c r="J8" s="63" t="n"/>
    </row>
    <row r="9" ht="23.25" customHeight="1" s="55">
      <c r="A9" s="65" t="n"/>
      <c r="B9" s="48" t="inlineStr">
        <is>
          <t>I DC [A]</t>
        </is>
      </c>
      <c r="C9" s="3" t="n">
        <v>85.5</v>
      </c>
      <c r="D9" s="20" t="n">
        <v>81.90000000000001</v>
      </c>
      <c r="E9" s="3" t="n"/>
      <c r="F9" s="20" t="n"/>
      <c r="G9" s="3" t="n"/>
      <c r="H9" s="20" t="n"/>
      <c r="I9" s="62" t="n"/>
      <c r="J9" s="63" t="n"/>
    </row>
    <row r="10" ht="23.25" customHeight="1" s="55">
      <c r="A10" s="65" t="n"/>
      <c r="B10" s="48" t="inlineStr">
        <is>
          <t>I Pre [A]</t>
        </is>
      </c>
      <c r="C10" s="3" t="n">
        <v>1.62</v>
      </c>
      <c r="D10" s="20" t="n">
        <v>1.64</v>
      </c>
      <c r="E10" s="3" t="n"/>
      <c r="F10" s="20" t="n"/>
      <c r="G10" s="3" t="n"/>
      <c r="H10" s="20" t="n"/>
      <c r="I10" s="62" t="n"/>
      <c r="J10" s="63" t="n"/>
    </row>
    <row r="11" ht="23.25" customHeight="1" s="55">
      <c r="A11" s="65" t="n"/>
      <c r="B11" s="48" t="inlineStr">
        <is>
          <t>V5V ACB [V]</t>
        </is>
      </c>
      <c r="C11" s="3" t="n">
        <v>5.2</v>
      </c>
      <c r="D11" s="20" t="n">
        <v>5.19</v>
      </c>
      <c r="E11" s="3" t="n"/>
      <c r="F11" s="20" t="n"/>
      <c r="G11" s="3" t="n"/>
      <c r="H11" s="20" t="n"/>
      <c r="I11" s="62" t="n"/>
      <c r="J11" s="63" t="n"/>
    </row>
    <row r="12" ht="23.25" customHeight="1" s="55">
      <c r="A12" s="65" t="n"/>
      <c r="B12" s="48" t="inlineStr">
        <is>
          <t>V 3V5 [V]</t>
        </is>
      </c>
      <c r="C12" s="3" t="n">
        <v>3.43</v>
      </c>
      <c r="D12" s="20" t="n">
        <v>3.45</v>
      </c>
      <c r="E12" s="3" t="n"/>
      <c r="F12" s="20" t="n"/>
      <c r="G12" s="3" t="n"/>
      <c r="H12" s="20" t="n"/>
      <c r="I12" s="62" t="n"/>
      <c r="J12" s="63" t="n"/>
    </row>
    <row r="13" ht="23.25" customHeight="1" s="55">
      <c r="A13" s="65" t="n"/>
      <c r="B13" s="48" t="inlineStr">
        <is>
          <t>V 12Mon [V]</t>
        </is>
      </c>
      <c r="C13" s="3" t="n">
        <v>11.6</v>
      </c>
      <c r="D13" s="20" t="n">
        <v>11.6</v>
      </c>
      <c r="E13" s="3" t="n"/>
      <c r="F13" s="20" t="n"/>
      <c r="G13" s="3" t="n"/>
      <c r="H13" s="20" t="n"/>
      <c r="I13" s="62" t="n"/>
      <c r="J13" s="63" t="n"/>
    </row>
    <row r="14" ht="23.25" customHeight="1" s="55">
      <c r="A14" s="66" t="n"/>
      <c r="B14" s="49" t="inlineStr">
        <is>
          <t>V Pre Mon [V]</t>
        </is>
      </c>
      <c r="C14" s="27" t="n">
        <v>19.5</v>
      </c>
      <c r="D14" s="28" t="n">
        <v>19.6</v>
      </c>
      <c r="E14" s="27" t="n"/>
      <c r="F14" s="28" t="n"/>
      <c r="G14" s="27" t="n"/>
      <c r="H14" s="28" t="n"/>
      <c r="I14" s="69" t="n"/>
      <c r="J14" s="70" t="n"/>
    </row>
    <row r="15" ht="23.25" customHeight="1" s="55">
      <c r="A15" s="64" t="inlineStr">
        <is>
          <t>Transistors</t>
        </is>
      </c>
      <c r="B15" s="47" t="inlineStr">
        <is>
          <t>I PRE [A]</t>
        </is>
      </c>
      <c r="C15" s="2" t="n">
        <v>1.62</v>
      </c>
      <c r="D15" s="19" t="n">
        <v>1.64</v>
      </c>
      <c r="E15" s="2" t="n"/>
      <c r="F15" s="19" t="n"/>
      <c r="G15" s="2" t="n"/>
      <c r="H15" s="19" t="n"/>
      <c r="I15" s="60" t="n"/>
      <c r="J15" s="61" t="n"/>
    </row>
    <row r="16" ht="23.25" customHeight="1" s="55">
      <c r="A16" s="65" t="n"/>
      <c r="B16" s="48" t="inlineStr">
        <is>
          <t>I DRV [A]</t>
        </is>
      </c>
      <c r="C16" s="3" t="n">
        <v>4.3</v>
      </c>
      <c r="D16" s="20" t="n">
        <v>4.38</v>
      </c>
      <c r="E16" s="3" t="n"/>
      <c r="F16" s="20" t="n"/>
      <c r="G16" s="3" t="n"/>
      <c r="H16" s="20" t="n"/>
      <c r="I16" s="62" t="n"/>
      <c r="J16" s="63" t="n"/>
    </row>
    <row r="17" ht="23.25" customHeight="1" s="55">
      <c r="A17" s="65" t="n"/>
      <c r="B17" s="48" t="inlineStr">
        <is>
          <t>I 1A [A]</t>
        </is>
      </c>
      <c r="C17" s="3" t="n">
        <v>13.56</v>
      </c>
      <c r="D17" s="20" t="n">
        <v>12.4</v>
      </c>
      <c r="E17" s="3" t="n"/>
      <c r="F17" s="20" t="n"/>
      <c r="G17" s="3" t="n"/>
      <c r="H17" s="20" t="n"/>
      <c r="I17" s="62" t="n"/>
      <c r="J17" s="63" t="n"/>
    </row>
    <row r="18" ht="23.25" customHeight="1" s="55">
      <c r="A18" s="65" t="n"/>
      <c r="B18" s="48" t="inlineStr">
        <is>
          <t>I 2A [A]</t>
        </is>
      </c>
      <c r="C18" s="3" t="n">
        <v>13.22</v>
      </c>
      <c r="D18" s="20" t="n">
        <v>12.86</v>
      </c>
      <c r="E18" s="3" t="n"/>
      <c r="F18" s="20" t="n"/>
      <c r="G18" s="3" t="n"/>
      <c r="H18" s="20" t="n"/>
      <c r="I18" s="62" t="n"/>
      <c r="J18" s="63" t="n"/>
    </row>
    <row r="19" ht="23.25" customHeight="1" s="55">
      <c r="A19" s="65" t="n"/>
      <c r="B19" s="48" t="inlineStr">
        <is>
          <t>I 3A [A]</t>
        </is>
      </c>
      <c r="C19" s="3" t="n">
        <v>12.1</v>
      </c>
      <c r="D19" s="20" t="n">
        <v>11.29</v>
      </c>
      <c r="E19" s="3" t="n"/>
      <c r="F19" s="20" t="n"/>
      <c r="G19" s="3" t="n"/>
      <c r="H19" s="20" t="n"/>
      <c r="I19" s="62" t="n"/>
      <c r="J19" s="63" t="n"/>
    </row>
    <row r="20" ht="23.25" customHeight="1" s="55">
      <c r="A20" s="65" t="n"/>
      <c r="B20" s="48" t="inlineStr">
        <is>
          <t>I 1B [A]</t>
        </is>
      </c>
      <c r="C20" s="3" t="n">
        <v>13.08</v>
      </c>
      <c r="D20" s="20" t="n">
        <v>12.39</v>
      </c>
      <c r="E20" s="3" t="n"/>
      <c r="F20" s="20" t="n"/>
      <c r="G20" s="3" t="n"/>
      <c r="H20" s="20" t="n"/>
      <c r="I20" s="62" t="n"/>
      <c r="J20" s="63" t="n"/>
    </row>
    <row r="21" ht="23.25" customHeight="1" s="55">
      <c r="A21" s="65" t="n"/>
      <c r="B21" s="48" t="inlineStr">
        <is>
          <t>I 2B [A]</t>
        </is>
      </c>
      <c r="C21" s="3" t="n">
        <v>13.41</v>
      </c>
      <c r="D21" s="20" t="n">
        <v>12.97</v>
      </c>
      <c r="E21" s="3" t="n"/>
      <c r="F21" s="20" t="n"/>
      <c r="G21" s="3" t="n"/>
      <c r="H21" s="20" t="n"/>
      <c r="I21" s="62" t="n"/>
      <c r="J21" s="63" t="n"/>
    </row>
    <row r="22" ht="23.25" customHeight="1" s="55">
      <c r="A22" s="66" t="n"/>
      <c r="B22" s="49" t="inlineStr">
        <is>
          <t>I 3B [A]</t>
        </is>
      </c>
      <c r="C22" s="27" t="n">
        <v>13.66</v>
      </c>
      <c r="D22" s="28" t="n">
        <v>13.48</v>
      </c>
      <c r="E22" s="27" t="n"/>
      <c r="F22" s="28" t="n"/>
      <c r="G22" s="27" t="n"/>
      <c r="H22" s="28" t="n"/>
      <c r="I22" s="69" t="n"/>
      <c r="J22" s="70" t="n"/>
    </row>
    <row r="23" ht="23.25" customHeight="1" s="55">
      <c r="A23" s="64" t="inlineStr">
        <is>
          <t>RF Levels</t>
        </is>
      </c>
      <c r="B23" s="47" t="inlineStr">
        <is>
          <t>Power A [V]</t>
        </is>
      </c>
      <c r="C23" s="2" t="n">
        <v>3.96</v>
      </c>
      <c r="D23" s="19" t="n">
        <v>3.88</v>
      </c>
      <c r="E23" s="2" t="n"/>
      <c r="F23" s="19" t="n"/>
      <c r="G23" s="2" t="n"/>
      <c r="H23" s="19" t="n"/>
      <c r="I23" s="60" t="n"/>
      <c r="J23" s="61" t="n"/>
    </row>
    <row r="24" ht="23.25" customHeight="1" s="55">
      <c r="A24" s="65" t="n"/>
      <c r="B24" s="48" t="inlineStr">
        <is>
          <t>Power B [V]</t>
        </is>
      </c>
      <c r="C24" s="3" t="n">
        <v>4.04</v>
      </c>
      <c r="D24" s="20" t="n">
        <v>4.04</v>
      </c>
      <c r="E24" s="3" t="n"/>
      <c r="F24" s="20" t="n"/>
      <c r="G24" s="3" t="n"/>
      <c r="H24" s="20" t="n"/>
      <c r="I24" s="62" t="n"/>
      <c r="J24" s="63" t="n"/>
    </row>
    <row r="25" ht="23.25" customHeight="1" s="55">
      <c r="A25" s="65" t="n"/>
      <c r="B25" s="48" t="inlineStr">
        <is>
          <t>Power V Ref [V]</t>
        </is>
      </c>
      <c r="C25" s="3" t="n">
        <v>4.05</v>
      </c>
      <c r="D25" s="20" t="n">
        <v>4.05</v>
      </c>
      <c r="E25" s="3" t="n"/>
      <c r="F25" s="20" t="n"/>
      <c r="G25" s="3" t="n"/>
      <c r="H25" s="20" t="n"/>
      <c r="I25" s="62" t="n"/>
      <c r="J25" s="63" t="n"/>
    </row>
    <row r="26" ht="23.25" customHeight="1" s="55">
      <c r="A26" s="65" t="n"/>
      <c r="B26" s="48" t="inlineStr">
        <is>
          <t>Power Out [V]</t>
        </is>
      </c>
      <c r="C26" s="3" t="n">
        <v>4.06</v>
      </c>
      <c r="D26" s="20" t="n">
        <v>4.09</v>
      </c>
      <c r="E26" s="3" t="n"/>
      <c r="F26" s="20" t="n"/>
      <c r="G26" s="3" t="n"/>
      <c r="H26" s="20" t="n"/>
      <c r="I26" s="62" t="n"/>
      <c r="J26" s="63" t="n"/>
    </row>
    <row r="27" ht="23.25" customHeight="1" s="55">
      <c r="A27" s="66" t="n"/>
      <c r="B27" s="50" t="inlineStr">
        <is>
          <t>Reflected Out [V]</t>
        </is>
      </c>
      <c r="C27" s="4" t="n">
        <v>1.27</v>
      </c>
      <c r="D27" s="21" t="n">
        <v>1.23</v>
      </c>
      <c r="E27" s="4" t="n"/>
      <c r="F27" s="21" t="n"/>
      <c r="G27" s="4" t="n"/>
      <c r="H27" s="21" t="n"/>
      <c r="I27" s="67" t="n"/>
      <c r="J27" s="68" t="n"/>
    </row>
    <row r="28" ht="13.5" customHeight="1" s="55"/>
    <row r="29">
      <c r="A29" s="5" t="inlineStr">
        <is>
          <t>특이 사항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A30" s="23" t="n"/>
      <c r="J30" s="9" t="n"/>
    </row>
    <row r="31">
      <c r="A31" s="23" t="inlineStr">
        <is>
          <t>Shoulder Distance :</t>
        </is>
      </c>
      <c r="C31" s="1" t="n">
        <v>45</v>
      </c>
      <c r="D31" s="1" t="inlineStr">
        <is>
          <t>dB</t>
        </is>
      </c>
      <c r="J31" s="9" t="n"/>
    </row>
    <row r="32">
      <c r="A32" s="23" t="inlineStr">
        <is>
          <t>Shoulder Left :</t>
        </is>
      </c>
      <c r="C32" s="1" t="n">
        <v>45.89</v>
      </c>
      <c r="D32" s="1" t="inlineStr">
        <is>
          <t>dB</t>
        </is>
      </c>
      <c r="J32" s="9" t="n"/>
    </row>
    <row r="33">
      <c r="A33" s="1" t="inlineStr">
        <is>
          <t>Shoulder Right :</t>
        </is>
      </c>
      <c r="C33" s="1" t="n">
        <v>48.31</v>
      </c>
      <c r="D33" s="1" t="inlineStr">
        <is>
          <t>dB</t>
        </is>
      </c>
      <c r="J33" s="9" t="n"/>
    </row>
    <row r="34">
      <c r="A34" s="23" t="inlineStr">
        <is>
          <t>Measured Ripple :</t>
        </is>
      </c>
      <c r="C34" s="1" t="n">
        <v>0.08</v>
      </c>
      <c r="D34" s="1" t="inlineStr">
        <is>
          <t>dB</t>
        </is>
      </c>
      <c r="J34" s="9" t="n"/>
    </row>
    <row r="35">
      <c r="A35" s="23" t="inlineStr">
        <is>
          <t>Measured Group Delay :</t>
        </is>
      </c>
      <c r="C35" s="1" t="n">
        <v>44.2556</v>
      </c>
      <c r="D35" s="1" t="inlineStr">
        <is>
          <t>ns</t>
        </is>
      </c>
      <c r="J35" s="9" t="n"/>
    </row>
    <row r="36">
      <c r="A36" s="23" t="n"/>
      <c r="J36" s="9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</row>
  </sheetData>
  <mergeCells count="29"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A6:A14"/>
    <mergeCell ref="I9:J9"/>
  </mergeCells>
  <pageMargins left="0.6997222304344177" right="0.6997222304344177" top="0.75" bottom="0.75" header="0.300000011920929" footer="0.300000011920929"/>
  <pageSetup orientation="portrait" paperSize="9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노종현</dc:creator>
  <dcterms:created xmlns:dcterms="http://purl.org/dc/terms/" xmlns:xsi="http://www.w3.org/2001/XMLSchema-instance" xsi:type="dcterms:W3CDTF">2021-02-23T06:32:08Z</dcterms:created>
  <dcterms:modified xmlns:dcterms="http://purl.org/dc/terms/" xmlns:xsi="http://www.w3.org/2001/XMLSchema-instance" xsi:type="dcterms:W3CDTF">2026-04-17T02:34:53Z</dcterms:modified>
  <cp:lastModifiedBy>종현 노</cp:lastModifiedBy>
  <cp:version>1200.0100.01</cp:version>
  <cp:revision>19</cp:revision>
  <cp:lastPrinted>2024-06-13T08:41:20Z</cp:lastPrinted>
</cp:coreProperties>
</file>