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S\Desktop\coding\temp\rohde-analyze\sample\"/>
    </mc:Choice>
  </mc:AlternateContent>
  <xr:revisionPtr revIDLastSave="0" documentId="13_ncr:1_{A042D2B6-D061-4E72-AB92-44CC146586E9}" xr6:coauthVersionLast="47" xr6:coauthVersionMax="47" xr10:uidLastSave="{00000000-0000-0000-0000-000000000000}"/>
  <bookViews>
    <workbookView xWindow="-23148" yWindow="-108" windowWidth="23256" windowHeight="12576" firstSheet="4" activeTab="13" xr2:uid="{00000000-000D-0000-FFFF-FFFF00000000}"/>
  </bookViews>
  <sheets>
    <sheet name="2025_01" sheetId="49" r:id="rId1"/>
    <sheet name="2025_02" sheetId="50" r:id="rId2"/>
    <sheet name="2025_03" sheetId="51" r:id="rId3"/>
    <sheet name="2025_04" sheetId="52" r:id="rId4"/>
    <sheet name="2025_05" sheetId="53" r:id="rId5"/>
    <sheet name="2025_06" sheetId="54" r:id="rId6"/>
    <sheet name="2025_07" sheetId="55" r:id="rId7"/>
    <sheet name="2025_08" sheetId="56" r:id="rId8"/>
    <sheet name="2025_09" sheetId="57" r:id="rId9"/>
    <sheet name="2025_10" sheetId="58" r:id="rId10"/>
    <sheet name="2025_11" sheetId="59" r:id="rId11"/>
    <sheet name="2025_12" sheetId="60" r:id="rId12"/>
    <sheet name="2026_01" sheetId="61" r:id="rId13"/>
    <sheet name="2026_02" sheetId="62" r:id="rId14"/>
  </sheets>
  <calcPr calcId="181029"/>
</workbook>
</file>

<file path=xl/calcChain.xml><?xml version="1.0" encoding="utf-8"?>
<calcChain xmlns="http://schemas.openxmlformats.org/spreadsheetml/2006/main">
  <c r="M4" i="62" l="1"/>
  <c r="M4" i="60"/>
  <c r="M4" i="59"/>
  <c r="M4" i="58"/>
  <c r="M4" i="57"/>
  <c r="M4" i="56"/>
  <c r="M4" i="55"/>
  <c r="M4" i="54"/>
  <c r="M4" i="53"/>
  <c r="M4" i="52"/>
  <c r="M4" i="51"/>
  <c r="M4" i="50"/>
  <c r="M4" i="49"/>
  <c r="M4" i="61"/>
</calcChain>
</file>

<file path=xl/sharedStrings.xml><?xml version="1.0" encoding="utf-8"?>
<sst xmlns="http://schemas.openxmlformats.org/spreadsheetml/2006/main" count="700" uniqueCount="68">
  <si>
    <t>1HD TX-B</t>
  </si>
  <si>
    <t>년</t>
  </si>
  <si>
    <t>01월</t>
  </si>
  <si>
    <t>19일</t>
  </si>
  <si>
    <t>매    체</t>
  </si>
  <si>
    <t>HD 1  TX B</t>
  </si>
  <si>
    <t>FWD</t>
  </si>
  <si>
    <t>W</t>
  </si>
  <si>
    <t>REF</t>
  </si>
  <si>
    <t>ANT  /  DL</t>
  </si>
  <si>
    <t>AMP 1</t>
  </si>
  <si>
    <t>AMP 2</t>
  </si>
  <si>
    <t>비 고</t>
  </si>
  <si>
    <t>Supply</t>
  </si>
  <si>
    <t>AMP Temp [°C]</t>
  </si>
  <si>
    <t>V Aux in [V]</t>
  </si>
  <si>
    <t>V+ Mon [V]</t>
  </si>
  <si>
    <t>I DC [A]</t>
  </si>
  <si>
    <t>I Pre [A]</t>
  </si>
  <si>
    <t>V5V ACB [V]</t>
  </si>
  <si>
    <t>V 3V5 [V]</t>
  </si>
  <si>
    <t>V 12Mon [V]</t>
  </si>
  <si>
    <t>V Pre Mon [V]</t>
  </si>
  <si>
    <t>Transistors</t>
  </si>
  <si>
    <t>I PRE [A]</t>
  </si>
  <si>
    <t>I DRV [A]</t>
  </si>
  <si>
    <t>I 1A [A]</t>
  </si>
  <si>
    <t>I 2A [A]</t>
  </si>
  <si>
    <t>I 3A [A]</t>
  </si>
  <si>
    <t>I 1B [A]</t>
  </si>
  <si>
    <t>I 2B [A]</t>
  </si>
  <si>
    <t>I 3B [A]</t>
  </si>
  <si>
    <t>RF Levels</t>
  </si>
  <si>
    <t>Power A [V]</t>
  </si>
  <si>
    <t>Power B [V]</t>
  </si>
  <si>
    <t>Power V Ref [V]</t>
  </si>
  <si>
    <t>Power Out [V]</t>
  </si>
  <si>
    <t>Reflected Out [V]</t>
  </si>
  <si>
    <t>특이 사항</t>
  </si>
  <si>
    <t>Shoulder Distance :</t>
  </si>
  <si>
    <t>dB</t>
  </si>
  <si>
    <t>Shoulder Left :</t>
  </si>
  <si>
    <t>Shoulder Right :</t>
  </si>
  <si>
    <t>Measured Ripple :</t>
  </si>
  <si>
    <t>Measured Group Delay :</t>
  </si>
  <si>
    <t>ns</t>
  </si>
  <si>
    <t>26일</t>
  </si>
  <si>
    <t>23일</t>
  </si>
  <si>
    <t>24일</t>
  </si>
  <si>
    <t>10월</t>
  </si>
  <si>
    <t>11월</t>
  </si>
  <si>
    <t>12월</t>
  </si>
  <si>
    <t>14일</t>
  </si>
  <si>
    <t>20일</t>
  </si>
  <si>
    <t>16일</t>
  </si>
  <si>
    <t>08월</t>
  </si>
  <si>
    <t>09월</t>
  </si>
  <si>
    <t>02월</t>
  </si>
  <si>
    <t>03월</t>
  </si>
  <si>
    <t>04월</t>
  </si>
  <si>
    <t>05월</t>
  </si>
  <si>
    <t>06월</t>
  </si>
  <si>
    <t>07월</t>
  </si>
  <si>
    <t>22일</t>
  </si>
  <si>
    <t>09일</t>
  </si>
  <si>
    <t>17일</t>
  </si>
  <si>
    <t>04일</t>
  </si>
  <si>
    <t>01일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</si>
</sst>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u/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BE5D7"/>
        <bgColor indexed="64"/>
      </patternFill>
    </fill>
  </fills>
  <borders count="4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31" xfId="0" applyBorder="1" applyAlignment="1"/>
    <xf numFmtId="0" fontId="0" fillId="0" borderId="30" xfId="0" applyBorder="1" applyAlignment="1"/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/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/>
    <xf numFmtId="0" fontId="1" fillId="0" borderId="40" xfId="0" applyFont="1" applyBorder="1" applyAlignment="1">
      <alignment horizontal="center" vertical="center"/>
    </xf>
    <xf numFmtId="0" fontId="0" fillId="0" borderId="41" xfId="0" applyBorder="1" applyAlignment="1"/>
    <xf numFmtId="0" fontId="1" fillId="0" borderId="38" xfId="0" applyFont="1" applyBorder="1" applyAlignment="1">
      <alignment horizontal="center" vertical="center"/>
    </xf>
    <xf numFmtId="0" fontId="0" fillId="0" borderId="39" xfId="0" applyBorder="1" applyAlignment="1"/>
    <xf numFmtId="0" fontId="1" fillId="2" borderId="27" xfId="0" applyFont="1" applyFill="1" applyBorder="1" applyAlignment="1">
      <alignment horizontal="center" vertical="center"/>
    </xf>
    <xf numFmtId="0" fontId="0" fillId="0" borderId="28" xfId="0" applyBorder="1" applyAlignment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6" xfId="0" applyBorder="1" applyAlignment="1"/>
    <xf numFmtId="0" fontId="1" fillId="0" borderId="2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pageSetUpPr fitToPage="1"/>
  </sheetPr>
  <dimension ref="A2:M37"/>
  <sheetViews>
    <sheetView zoomScale="85" zoomScaleNormal="85" zoomScaleSheetLayoutView="85" workbookViewId="0">
      <selection activeCell="A2" sqref="A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2</v>
      </c>
      <c r="J2" s="20" t="s">
        <v>64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2488.857</v>
      </c>
      <c r="G3" s="13" t="s">
        <v>7</v>
      </c>
      <c r="H3" s="15" t="s">
        <v>8</v>
      </c>
      <c r="I3" s="13">
        <v>1.734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29.3</v>
      </c>
      <c r="D6" s="16">
        <v>29.8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80.8</v>
      </c>
      <c r="D9" s="17">
        <v>80.5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</v>
      </c>
      <c r="D10" s="17">
        <v>1.61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5.21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</v>
      </c>
      <c r="D15" s="16">
        <v>1.61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4.37</v>
      </c>
      <c r="D16" s="17">
        <v>4.29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12.74</v>
      </c>
      <c r="D17" s="17">
        <v>12.24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12.78</v>
      </c>
      <c r="D18" s="17">
        <v>12.01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11.39</v>
      </c>
      <c r="D19" s="17">
        <v>11.39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12.06</v>
      </c>
      <c r="D20" s="17">
        <v>11.97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12.29</v>
      </c>
      <c r="D21" s="17">
        <v>12.94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12.78</v>
      </c>
      <c r="D22" s="22">
        <v>13.26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3.94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1.29</v>
      </c>
      <c r="D27" s="18">
        <v>0.94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47.48</v>
      </c>
      <c r="D32" s="1" t="s">
        <v>40</v>
      </c>
      <c r="J32" s="9"/>
    </row>
    <row r="33" spans="1:10" x14ac:dyDescent="0.3">
      <c r="A33" s="1" t="s">
        <v>42</v>
      </c>
      <c r="C33" s="1">
        <v>48.11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49.9313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57</v>
      </c>
      <c r="J2" s="20" t="s">
        <v>48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25.5</v>
      </c>
      <c r="D6" s="16">
        <v>26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43.5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80.3</v>
      </c>
      <c r="D9" s="17">
        <v>80.400000000000006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1.59</v>
      </c>
      <c r="D10" s="17">
        <v>1.59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5.22</v>
      </c>
      <c r="D11" s="17">
        <v>5.22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3.47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1.59</v>
      </c>
      <c r="D15" s="16">
        <v>1.59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4.33</v>
      </c>
      <c r="D16" s="17">
        <v>4.2699999999999996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12.68</v>
      </c>
      <c r="D17" s="17">
        <v>12.23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12.73</v>
      </c>
      <c r="D18" s="17">
        <v>12.02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11.37</v>
      </c>
      <c r="D19" s="17">
        <v>11.42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12.01</v>
      </c>
      <c r="D20" s="17">
        <v>11.98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12.22</v>
      </c>
      <c r="D21" s="17">
        <v>12.93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12.7</v>
      </c>
      <c r="D22" s="22">
        <v>13.21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3.96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3.93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4.0599999999999996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1.44</v>
      </c>
      <c r="D27" s="18">
        <v>1.25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47.44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26.526800000000001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pageSetUpPr fitToPage="1"/>
  </sheetPr>
  <dimension ref="A2:M37"/>
  <sheetViews>
    <sheetView zoomScale="85" zoomScaleNormal="85" zoomScaleSheetLayoutView="85" workbookViewId="0">
      <selection activeCell="K7" sqref="K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58</v>
      </c>
      <c r="J2" s="20" t="s">
        <v>65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2.1230000000000002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35.9</v>
      </c>
      <c r="D6" s="16">
        <v>36.4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81.2</v>
      </c>
      <c r="D9" s="17">
        <v>80.7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1.62</v>
      </c>
      <c r="D10" s="17">
        <v>1.63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1.62</v>
      </c>
      <c r="D15" s="16">
        <v>1.63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4.4000000000000004</v>
      </c>
      <c r="D16" s="17">
        <v>4.33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12.82</v>
      </c>
      <c r="D17" s="17">
        <v>12.26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12.84</v>
      </c>
      <c r="D18" s="17">
        <v>12.03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11.43</v>
      </c>
      <c r="D19" s="17">
        <v>11.38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</v>
      </c>
      <c r="D20" s="17">
        <v>11.99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12.35</v>
      </c>
      <c r="D21" s="17">
        <v>12.98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12.86</v>
      </c>
      <c r="D22" s="22">
        <v>13.3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3.94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3.95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4.04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1.28</v>
      </c>
      <c r="D27" s="18">
        <v>0.96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47.35</v>
      </c>
      <c r="D32" s="1" t="s">
        <v>40</v>
      </c>
      <c r="J32" s="9"/>
    </row>
    <row r="33" spans="1:10" x14ac:dyDescent="0.3">
      <c r="A33" s="1" t="s">
        <v>42</v>
      </c>
      <c r="C33" s="1">
        <v>48.19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28.8979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59</v>
      </c>
      <c r="J2" s="20" t="s">
        <v>52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5.117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31.1</v>
      </c>
      <c r="D6" s="16">
        <v>31.6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80.900000000000006</v>
      </c>
      <c r="D9" s="17">
        <v>80.599999999999994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1.61</v>
      </c>
      <c r="D10" s="17">
        <v>1.61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5.21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1.61</v>
      </c>
      <c r="D15" s="16">
        <v>1.61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4.3600000000000003</v>
      </c>
      <c r="D16" s="17">
        <v>4.29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12.77</v>
      </c>
      <c r="D17" s="17">
        <v>12.25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</v>
      </c>
      <c r="D18" s="17">
        <v>12.03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11.41</v>
      </c>
      <c r="D19" s="17">
        <v>11.39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12.08</v>
      </c>
      <c r="D20" s="17">
        <v>11.99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12.31</v>
      </c>
      <c r="D21" s="17">
        <v>12.96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</v>
      </c>
      <c r="D22" s="22">
        <v>13.27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3.95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1.37</v>
      </c>
      <c r="D27" s="18">
        <v>1.1499999999999999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47.38</v>
      </c>
      <c r="D32" s="1" t="s">
        <v>40</v>
      </c>
      <c r="J32" s="9"/>
    </row>
    <row r="33" spans="1:10" x14ac:dyDescent="0.3">
      <c r="A33" s="1" t="s">
        <v>42</v>
      </c>
      <c r="C33" s="1">
        <v>47.9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23.197800000000001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pageSetUpPr fitToPage="1"/>
  </sheetPr>
  <dimension ref="A2:M37"/>
  <sheetViews>
    <sheetView zoomScale="85" zoomScaleNormal="85" zoomScaleSheetLayoutView="85" workbookViewId="0">
      <selection activeCell="S9" sqref="S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60</v>
      </c>
      <c r="J2" s="20" t="s">
        <v>63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1.9630000000000001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45.2</v>
      </c>
      <c r="D6" s="16">
        <v>45.7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43.4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81.900000000000006</v>
      </c>
      <c r="D9" s="17">
        <v>80.900000000000006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1.65</v>
      </c>
      <c r="D10" s="17">
        <v>1.66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</v>
      </c>
      <c r="D11" s="17">
        <v>5.19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3.45</v>
      </c>
      <c r="D12" s="17">
        <v>3.43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1.65</v>
      </c>
      <c r="D15" s="16">
        <v>1.66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4.45</v>
      </c>
      <c r="D16" s="17">
        <v>4.37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12.93</v>
      </c>
      <c r="D17" s="17">
        <v>12.28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12.93</v>
      </c>
      <c r="D18" s="17">
        <v>12.04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11.47</v>
      </c>
      <c r="D19" s="17">
        <v>11.37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12.19</v>
      </c>
      <c r="D20" s="17">
        <v>12.01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12.45</v>
      </c>
      <c r="D21" s="17">
        <v>13.02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12.99</v>
      </c>
      <c r="D22" s="22">
        <v>13.37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4.03</v>
      </c>
      <c r="D23" s="16">
        <v>3.93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3.95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4.03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1.24</v>
      </c>
      <c r="D27" s="18">
        <v>0.91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46.92</v>
      </c>
      <c r="D32" s="1" t="s">
        <v>40</v>
      </c>
      <c r="J32" s="9"/>
    </row>
    <row r="33" spans="1:10" x14ac:dyDescent="0.3">
      <c r="A33" s="1" t="s">
        <v>42</v>
      </c>
      <c r="C33" s="1">
        <v>47.66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25.97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pageSetUpPr fitToPage="1"/>
  </sheetPr>
  <dimension ref="A2:M37"/>
  <sheetViews>
    <sheetView zoomScale="85" zoomScaleNormal="85" zoomScaleSheetLayoutView="85" workbookViewId="0">
      <selection activeCell="P25" sqref="P25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61</v>
      </c>
      <c r="J2" s="20" t="s">
        <v>54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5.1639999999999997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35.299999999999997</v>
      </c>
      <c r="D6" s="16">
        <v>35.9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81.3</v>
      </c>
      <c r="D9" s="17">
        <v>80.900000000000006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1.62</v>
      </c>
      <c r="D10" s="17">
        <v>1.63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5.21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1.62</v>
      </c>
      <c r="D15" s="16">
        <v>1.63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4.38</v>
      </c>
      <c r="D16" s="17">
        <v>4.3099999999999996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12.84</v>
      </c>
      <c r="D17" s="17">
        <v>12.3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12.86</v>
      </c>
      <c r="D18" s="17">
        <v>12.07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11.44</v>
      </c>
      <c r="D19" s="17">
        <v>11.42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12.12</v>
      </c>
      <c r="D20" s="17">
        <v>12.04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12.37</v>
      </c>
      <c r="D21" s="17">
        <v>13.01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12.86</v>
      </c>
      <c r="D22" s="22">
        <v>13.34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3.95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1.38</v>
      </c>
      <c r="D27" s="18">
        <v>1.17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47.33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24.8428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pageSetUpPr fitToPage="1"/>
  </sheetPr>
  <dimension ref="A2:M37"/>
  <sheetViews>
    <sheetView zoomScale="85" zoomScaleNormal="85" zoomScaleSheetLayoutView="85" workbookViewId="0">
      <selection activeCell="O19" sqref="O1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62</v>
      </c>
      <c r="J2" s="20" t="s">
        <v>52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2488.857</v>
      </c>
      <c r="G3" s="13" t="s">
        <v>7</v>
      </c>
      <c r="H3" s="15" t="s">
        <v>8</v>
      </c>
      <c r="I3" s="13">
        <v>1.8580000000000001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40.200000000000003</v>
      </c>
      <c r="D6" s="16">
        <v>40.700000000000003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43.4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81.7</v>
      </c>
      <c r="D9" s="17">
        <v>80.900000000000006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1.64</v>
      </c>
      <c r="D10" s="17">
        <v>1.64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3.43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1.64</v>
      </c>
      <c r="D15" s="16">
        <v>1.64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4.42</v>
      </c>
      <c r="D16" s="17">
        <v>4.34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12.9</v>
      </c>
      <c r="D17" s="17">
        <v>12.29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12.9</v>
      </c>
      <c r="D18" s="17">
        <v>12.06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11.47</v>
      </c>
      <c r="D19" s="17">
        <v>11.38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12.17</v>
      </c>
      <c r="D20" s="17">
        <v>12.03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12.42</v>
      </c>
      <c r="D21" s="17">
        <v>13.02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12.93</v>
      </c>
      <c r="D22" s="22">
        <v>13.35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3.93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3.95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4.04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1.24</v>
      </c>
      <c r="D27" s="18">
        <v>0.93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47.11</v>
      </c>
      <c r="D32" s="1" t="s">
        <v>40</v>
      </c>
      <c r="J32" s="9"/>
    </row>
    <row r="33" spans="1:10" x14ac:dyDescent="0.3">
      <c r="A33" s="1" t="s">
        <v>42</v>
      </c>
      <c r="C33" s="1">
        <v>47.71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22.7944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pageSetUpPr fitToPage="1"/>
  </sheetPr>
  <dimension ref="A2:M37"/>
  <sheetViews>
    <sheetView zoomScale="85" zoomScaleNormal="85" zoomScaleSheetLayoutView="85" workbookViewId="0">
      <selection activeCell="M9" sqref="M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55</v>
      </c>
      <c r="J2" s="20" t="s">
        <v>66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34.9</v>
      </c>
      <c r="D6" s="16">
        <v>35.4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43.4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81.3</v>
      </c>
      <c r="D9" s="17">
        <v>80.8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1.62</v>
      </c>
      <c r="D10" s="17">
        <v>1.63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5.21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1.62</v>
      </c>
      <c r="D15" s="16">
        <v>1.63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4.38</v>
      </c>
      <c r="D16" s="17">
        <v>4.3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12.83</v>
      </c>
      <c r="D17" s="17">
        <v>12.29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12.85</v>
      </c>
      <c r="D18" s="17">
        <v>12.06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11.44</v>
      </c>
      <c r="D19" s="17">
        <v>11.41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12.12</v>
      </c>
      <c r="D20" s="17">
        <v>12.03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12.36</v>
      </c>
      <c r="D21" s="17">
        <v>13.01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12.85</v>
      </c>
      <c r="D22" s="22">
        <v>13.33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3.94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1.39</v>
      </c>
      <c r="D27" s="18">
        <v>1.18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47.09</v>
      </c>
      <c r="D32" s="1" t="s">
        <v>40</v>
      </c>
      <c r="J32" s="9"/>
    </row>
    <row r="33" spans="1:10" x14ac:dyDescent="0.3">
      <c r="A33" s="1" t="s">
        <v>42</v>
      </c>
      <c r="C33" s="1">
        <v>47.9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24.96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pageSetUpPr fitToPage="1"/>
  </sheetPr>
  <dimension ref="A2:M37"/>
  <sheetViews>
    <sheetView zoomScale="85" zoomScaleNormal="75" zoomScaleSheetLayoutView="85" workbookViewId="0">
      <selection activeCell="L16" sqref="L16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56</v>
      </c>
      <c r="J2" s="20" t="s">
        <v>67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5.2359999999999998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35.9</v>
      </c>
      <c r="D6" s="16">
        <v>36.4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43.4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81.400000000000006</v>
      </c>
      <c r="D9" s="17">
        <v>80.900000000000006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1.62</v>
      </c>
      <c r="D10" s="17">
        <v>1.63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1.62</v>
      </c>
      <c r="D15" s="16">
        <v>1.63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4.38</v>
      </c>
      <c r="D16" s="17">
        <v>4.3099999999999996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12.85</v>
      </c>
      <c r="D17" s="17">
        <v>12.3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12.86</v>
      </c>
      <c r="D18" s="17">
        <v>12.07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11.45</v>
      </c>
      <c r="D19" s="17">
        <v>11.42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12.13</v>
      </c>
      <c r="D20" s="17">
        <v>12.04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12.38</v>
      </c>
      <c r="D21" s="17">
        <v>13.02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12.87</v>
      </c>
      <c r="D22" s="22">
        <v>13.34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3.94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1.37</v>
      </c>
      <c r="D27" s="18">
        <v>1.1599999999999999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</v>
      </c>
      <c r="D32" s="1" t="s">
        <v>40</v>
      </c>
      <c r="J32" s="9"/>
    </row>
    <row r="33" spans="1:10" x14ac:dyDescent="0.3">
      <c r="A33" s="1" t="s">
        <v>42</v>
      </c>
      <c r="C33" s="1">
        <v>47.96</v>
      </c>
      <c r="D33" s="1" t="s">
        <v>40</v>
      </c>
      <c r="J33" s="9"/>
    </row>
    <row r="34" spans="1:10" x14ac:dyDescent="0.3">
      <c r="A34" s="8" t="s">
        <v>43</v>
      </c>
      <c r="C34" s="1">
        <v>0.06</v>
      </c>
      <c r="D34" s="1" t="s">
        <v>40</v>
      </c>
      <c r="J34" s="9"/>
    </row>
    <row r="35" spans="1:10" x14ac:dyDescent="0.3">
      <c r="A35" s="8" t="s">
        <v>44</v>
      </c>
      <c r="C35" s="1">
        <v>28.0549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49</v>
      </c>
      <c r="J2" s="20" t="s">
        <v>53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5.1639999999999997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36</v>
      </c>
      <c r="D6" s="16">
        <v>36.5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43.4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81.3</v>
      </c>
      <c r="D9" s="17">
        <v>80.900000000000006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1.62</v>
      </c>
      <c r="D10" s="17">
        <v>1.63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5.21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1.62</v>
      </c>
      <c r="D15" s="16">
        <v>1.63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4.38</v>
      </c>
      <c r="D16" s="17">
        <v>4.3099999999999996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12.83</v>
      </c>
      <c r="D17" s="17">
        <v>12.29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12.86</v>
      </c>
      <c r="D18" s="17">
        <v>12.06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11.44</v>
      </c>
      <c r="D19" s="17">
        <v>11.41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12.12</v>
      </c>
      <c r="D20" s="17">
        <v>12.03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12.37</v>
      </c>
      <c r="D21" s="17">
        <v>13.01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12.86</v>
      </c>
      <c r="D22" s="22">
        <v>13.33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3.94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1.38</v>
      </c>
      <c r="D27" s="18">
        <v>1.1599999999999999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</v>
      </c>
      <c r="D32" s="1" t="s">
        <v>40</v>
      </c>
      <c r="J32" s="9"/>
    </row>
    <row r="33" spans="1:10" x14ac:dyDescent="0.3">
      <c r="A33" s="1" t="s">
        <v>42</v>
      </c>
      <c r="C33" s="1">
        <v>47.85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17.6631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50</v>
      </c>
      <c r="J2" s="20" t="s">
        <v>46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2488.857</v>
      </c>
      <c r="G3" s="13" t="s">
        <v>7</v>
      </c>
      <c r="H3" s="15" t="s">
        <v>8</v>
      </c>
      <c r="I3" s="13">
        <v>5.2839999999999998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33.299999999999997</v>
      </c>
      <c r="D6" s="16">
        <v>33.799999999999997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</v>
      </c>
      <c r="D9" s="17">
        <v>80.7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1.61</v>
      </c>
      <c r="D10" s="17">
        <v>1.62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5.22</v>
      </c>
      <c r="D11" s="17">
        <v>5.21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1.61</v>
      </c>
      <c r="D15" s="16">
        <v>1.62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4.3600000000000003</v>
      </c>
      <c r="D16" s="17">
        <v>4.29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12.79</v>
      </c>
      <c r="D17" s="17">
        <v>12.27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12.82</v>
      </c>
      <c r="D18" s="17">
        <v>12.04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11.43</v>
      </c>
      <c r="D19" s="17">
        <v>11.4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12.08</v>
      </c>
      <c r="D20" s="17">
        <v>12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12.33</v>
      </c>
      <c r="D21" s="17">
        <v>12.99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12.82</v>
      </c>
      <c r="D22" s="22">
        <v>13.3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3.95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1.37</v>
      </c>
      <c r="D27" s="18">
        <v>1.1499999999999999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47.32</v>
      </c>
      <c r="D32" s="1" t="s">
        <v>40</v>
      </c>
      <c r="J32" s="9"/>
    </row>
    <row r="33" spans="1:10" x14ac:dyDescent="0.3">
      <c r="A33" s="1" t="s">
        <v>42</v>
      </c>
      <c r="C33" s="1">
        <v>48.04</v>
      </c>
      <c r="D33" s="1" t="s">
        <v>40</v>
      </c>
      <c r="J33" s="9"/>
    </row>
    <row r="34" spans="1:10" x14ac:dyDescent="0.3">
      <c r="A34" s="8" t="s">
        <v>43</v>
      </c>
      <c r="C34" s="1">
        <v>0.06</v>
      </c>
      <c r="D34" s="1" t="s">
        <v>40</v>
      </c>
      <c r="J34" s="9"/>
    </row>
    <row r="35" spans="1:10" x14ac:dyDescent="0.3">
      <c r="A35" s="8" t="s">
        <v>44</v>
      </c>
      <c r="C35" s="1">
        <v>25.495699999999999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2025</v>
      </c>
      <c r="H2" s="20" t="s">
        <v>1</v>
      </c>
      <c r="I2" s="20" t="s">
        <v>51</v>
      </c>
      <c r="J2" s="20" t="s">
        <v>63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1.758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36.4</v>
      </c>
      <c r="D6" s="16">
        <v>36.9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43.4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81.3</v>
      </c>
      <c r="D9" s="17">
        <v>80.7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1.62</v>
      </c>
      <c r="D10" s="17">
        <v>1.63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1.62</v>
      </c>
      <c r="D15" s="16">
        <v>1.63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4.4000000000000004</v>
      </c>
      <c r="D16" s="17">
        <v>4.32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12.82</v>
      </c>
      <c r="D17" s="17">
        <v>12.25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12.85</v>
      </c>
      <c r="D18" s="17">
        <v>12.02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11.43</v>
      </c>
      <c r="D19" s="17">
        <v>11.37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12.11</v>
      </c>
      <c r="D20" s="17">
        <v>11.98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12.36</v>
      </c>
      <c r="D21" s="17">
        <v>12.98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12.86</v>
      </c>
      <c r="D22" s="22">
        <v>13.3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3.93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4.04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1.26</v>
      </c>
      <c r="D27" s="18">
        <v>0.93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47.38</v>
      </c>
      <c r="D32" s="1" t="s">
        <v>40</v>
      </c>
      <c r="J32" s="9"/>
    </row>
    <row r="33" spans="1:10" x14ac:dyDescent="0.3">
      <c r="A33" s="1" t="s">
        <v>42</v>
      </c>
      <c r="C33" s="1">
        <v>47.86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29.213999999999999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2026</v>
      </c>
      <c r="H2" s="20" t="s">
        <v>1</v>
      </c>
      <c r="I2" s="20" t="s">
        <v>2</v>
      </c>
      <c r="J2" s="20" t="s">
        <v>3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24.3</v>
      </c>
      <c r="D6" s="16">
        <v>24.8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43.5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80.3</v>
      </c>
      <c r="D9" s="17">
        <v>80.400000000000006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1.58</v>
      </c>
      <c r="D10" s="17">
        <v>1.59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5.22</v>
      </c>
      <c r="D11" s="17">
        <v>5.22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3.47</v>
      </c>
      <c r="D12" s="17">
        <v>3.45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1.58</v>
      </c>
      <c r="D15" s="16">
        <v>1.59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4.3099999999999996</v>
      </c>
      <c r="D16" s="17">
        <v>4.25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12.68</v>
      </c>
      <c r="D17" s="17">
        <v>12.24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12.73</v>
      </c>
      <c r="D18" s="17">
        <v>12.02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11.37</v>
      </c>
      <c r="D19" s="17">
        <v>11.43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12.01</v>
      </c>
      <c r="D20" s="17">
        <v>11.99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12.22</v>
      </c>
      <c r="D21" s="17">
        <v>12.94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12.69</v>
      </c>
      <c r="D22" s="22">
        <v>13.21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3.96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3.93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4.0599999999999996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1.43</v>
      </c>
      <c r="D27" s="18">
        <v>1.24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47.24</v>
      </c>
      <c r="D32" s="1" t="s">
        <v>40</v>
      </c>
      <c r="J32" s="9"/>
    </row>
    <row r="33" spans="1:10" x14ac:dyDescent="0.3">
      <c r="A33" s="1" t="s">
        <v>42</v>
      </c>
      <c r="C33" s="1">
        <v>47.63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31.704999999999998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7">
    <pageSetUpPr fitToPage="1"/>
  </sheetPr>
  <dimension ref="A2:M37"/>
  <sheetViews>
    <sheetView tabSelected="1"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0">
        <v>2026</v>
      </c>
      <c r="H2" s="20" t="s">
        <v>1</v>
      </c>
      <c r="I2" s="20" t="s">
        <v>57</v>
      </c>
      <c r="J2" s="20" t="s">
        <v>47</v>
      </c>
    </row>
    <row r="3" spans="1:13" ht="33" customHeight="1" x14ac:dyDescent="0.3">
      <c r="A3" s="45" t="s">
        <v>4</v>
      </c>
      <c r="B3" s="46"/>
      <c r="C3" s="47" t="s">
        <v>5</v>
      </c>
      <c r="D3" s="46"/>
      <c r="E3" s="13" t="s">
        <v>6</v>
      </c>
      <c r="F3" s="13">
        <v>2488.857</v>
      </c>
      <c r="G3" s="13" t="s">
        <v>7</v>
      </c>
      <c r="H3" s="15" t="s">
        <v>8</v>
      </c>
      <c r="I3" s="13">
        <v>1.901</v>
      </c>
      <c r="J3" s="14" t="s">
        <v>7</v>
      </c>
    </row>
    <row r="4" spans="1:13" ht="33" hidden="1" customHeight="1" outlineLevel="1" x14ac:dyDescent="0.3">
      <c r="A4" s="27"/>
      <c r="B4" s="28"/>
      <c r="C4" s="29"/>
      <c r="D4" s="28"/>
      <c r="E4" s="30"/>
      <c r="F4" s="30"/>
      <c r="G4" s="30"/>
      <c r="H4" s="30"/>
      <c r="I4" s="30"/>
      <c r="J4" s="31"/>
      <c r="M4" s="1" t="e">
        <f>#REF!</f>
        <v>#REF!</v>
      </c>
    </row>
    <row r="5" spans="1:13" ht="23.25" customHeight="1" collapsed="1" x14ac:dyDescent="0.3">
      <c r="A5" s="48" t="s">
        <v>9</v>
      </c>
      <c r="B5" s="49"/>
      <c r="C5" s="19" t="s">
        <v>10</v>
      </c>
      <c r="D5" s="32" t="s">
        <v>11</v>
      </c>
      <c r="E5" s="33"/>
      <c r="F5" s="32"/>
      <c r="G5" s="33"/>
      <c r="H5" s="32"/>
      <c r="I5" s="50" t="s">
        <v>12</v>
      </c>
      <c r="J5" s="49"/>
    </row>
    <row r="6" spans="1:13" ht="23.25" customHeight="1" x14ac:dyDescent="0.3">
      <c r="A6" s="34" t="s">
        <v>13</v>
      </c>
      <c r="B6" s="23" t="s">
        <v>14</v>
      </c>
      <c r="C6" s="2">
        <v>34.4</v>
      </c>
      <c r="D6" s="16">
        <v>34.9</v>
      </c>
      <c r="E6" s="2"/>
      <c r="F6" s="16"/>
      <c r="G6" s="2"/>
      <c r="H6" s="16"/>
      <c r="I6" s="51"/>
      <c r="J6" s="52"/>
    </row>
    <row r="7" spans="1:13" ht="23.25" customHeight="1" x14ac:dyDescent="0.3">
      <c r="A7" s="35"/>
      <c r="B7" s="24" t="s">
        <v>15</v>
      </c>
      <c r="C7" s="3">
        <v>15.3</v>
      </c>
      <c r="D7" s="17">
        <v>15.5</v>
      </c>
      <c r="E7" s="3"/>
      <c r="F7" s="17"/>
      <c r="G7" s="3"/>
      <c r="H7" s="17"/>
      <c r="I7" s="37"/>
      <c r="J7" s="38"/>
    </row>
    <row r="8" spans="1:13" ht="23.25" customHeight="1" x14ac:dyDescent="0.3">
      <c r="A8" s="35"/>
      <c r="B8" s="24" t="s">
        <v>16</v>
      </c>
      <c r="C8" s="3">
        <v>43.5</v>
      </c>
      <c r="D8" s="17">
        <v>43.4</v>
      </c>
      <c r="E8" s="3"/>
      <c r="F8" s="17"/>
      <c r="G8" s="3"/>
      <c r="H8" s="17"/>
      <c r="I8" s="39"/>
      <c r="J8" s="40"/>
    </row>
    <row r="9" spans="1:13" ht="23.25" customHeight="1" x14ac:dyDescent="0.3">
      <c r="A9" s="35"/>
      <c r="B9" s="24" t="s">
        <v>17</v>
      </c>
      <c r="C9" s="3">
        <v>81.099999999999994</v>
      </c>
      <c r="D9" s="17">
        <v>80.599999999999994</v>
      </c>
      <c r="E9" s="3"/>
      <c r="F9" s="17"/>
      <c r="G9" s="3"/>
      <c r="H9" s="17"/>
      <c r="I9" s="39"/>
      <c r="J9" s="40"/>
    </row>
    <row r="10" spans="1:13" ht="23.25" customHeight="1" x14ac:dyDescent="0.3">
      <c r="A10" s="35"/>
      <c r="B10" s="24" t="s">
        <v>18</v>
      </c>
      <c r="C10" s="3">
        <v>1.62</v>
      </c>
      <c r="D10" s="17">
        <v>1.63</v>
      </c>
      <c r="E10" s="3"/>
      <c r="F10" s="17"/>
      <c r="G10" s="3"/>
      <c r="H10" s="17"/>
      <c r="I10" s="39"/>
      <c r="J10" s="40"/>
    </row>
    <row r="11" spans="1:13" ht="23.25" customHeight="1" x14ac:dyDescent="0.3">
      <c r="A11" s="35"/>
      <c r="B11" s="24" t="s">
        <v>19</v>
      </c>
      <c r="C11" s="3">
        <v>5.21</v>
      </c>
      <c r="D11" s="17">
        <v>5.2</v>
      </c>
      <c r="E11" s="3"/>
      <c r="F11" s="17"/>
      <c r="G11" s="3"/>
      <c r="H11" s="17"/>
      <c r="I11" s="39"/>
      <c r="J11" s="40"/>
    </row>
    <row r="12" spans="1:13" ht="23.25" customHeight="1" x14ac:dyDescent="0.3">
      <c r="A12" s="35"/>
      <c r="B12" s="24" t="s">
        <v>20</v>
      </c>
      <c r="C12" s="3">
        <v>3.46</v>
      </c>
      <c r="D12" s="17">
        <v>3.44</v>
      </c>
      <c r="E12" s="3"/>
      <c r="F12" s="17"/>
      <c r="G12" s="3"/>
      <c r="H12" s="17"/>
      <c r="I12" s="39"/>
      <c r="J12" s="40"/>
    </row>
    <row r="13" spans="1:13" ht="23.25" customHeight="1" x14ac:dyDescent="0.3">
      <c r="A13" s="35"/>
      <c r="B13" s="24" t="s">
        <v>21</v>
      </c>
      <c r="C13" s="3">
        <v>11.6</v>
      </c>
      <c r="D13" s="17">
        <v>11.5</v>
      </c>
      <c r="E13" s="3"/>
      <c r="F13" s="17"/>
      <c r="G13" s="3"/>
      <c r="H13" s="17"/>
      <c r="I13" s="39"/>
      <c r="J13" s="40"/>
    </row>
    <row r="14" spans="1:13" ht="23.25" customHeight="1" x14ac:dyDescent="0.3">
      <c r="A14" s="36"/>
      <c r="B14" s="25" t="s">
        <v>22</v>
      </c>
      <c r="C14" s="21">
        <v>19.600000000000001</v>
      </c>
      <c r="D14" s="22">
        <v>19.600000000000001</v>
      </c>
      <c r="E14" s="21"/>
      <c r="F14" s="22"/>
      <c r="G14" s="21"/>
      <c r="H14" s="22"/>
      <c r="I14" s="43"/>
      <c r="J14" s="44"/>
    </row>
    <row r="15" spans="1:13" ht="23.25" customHeight="1" x14ac:dyDescent="0.3">
      <c r="A15" s="34" t="s">
        <v>23</v>
      </c>
      <c r="B15" s="23" t="s">
        <v>24</v>
      </c>
      <c r="C15" s="2">
        <v>1.62</v>
      </c>
      <c r="D15" s="16">
        <v>1.63</v>
      </c>
      <c r="E15" s="2"/>
      <c r="F15" s="16"/>
      <c r="G15" s="2"/>
      <c r="H15" s="16"/>
      <c r="I15" s="37"/>
      <c r="J15" s="38"/>
    </row>
    <row r="16" spans="1:13" ht="23.25" customHeight="1" x14ac:dyDescent="0.3">
      <c r="A16" s="35"/>
      <c r="B16" s="24" t="s">
        <v>25</v>
      </c>
      <c r="C16" s="3">
        <v>4.38</v>
      </c>
      <c r="D16" s="17">
        <v>4.3099999999999996</v>
      </c>
      <c r="E16" s="3"/>
      <c r="F16" s="17"/>
      <c r="G16" s="3"/>
      <c r="H16" s="17"/>
      <c r="I16" s="39"/>
      <c r="J16" s="40"/>
    </row>
    <row r="17" spans="1:10" ht="23.25" customHeight="1" x14ac:dyDescent="0.3">
      <c r="A17" s="35"/>
      <c r="B17" s="24" t="s">
        <v>26</v>
      </c>
      <c r="C17" s="3">
        <v>12.78</v>
      </c>
      <c r="D17" s="17">
        <v>12.25</v>
      </c>
      <c r="E17" s="3"/>
      <c r="F17" s="17"/>
      <c r="G17" s="3"/>
      <c r="H17" s="17"/>
      <c r="I17" s="39"/>
      <c r="J17" s="40"/>
    </row>
    <row r="18" spans="1:10" ht="23.25" customHeight="1" x14ac:dyDescent="0.3">
      <c r="A18" s="35"/>
      <c r="B18" s="24" t="s">
        <v>27</v>
      </c>
      <c r="C18" s="3">
        <v>12.82</v>
      </c>
      <c r="D18" s="17">
        <v>12.02</v>
      </c>
      <c r="E18" s="3"/>
      <c r="F18" s="17"/>
      <c r="G18" s="3"/>
      <c r="H18" s="17"/>
      <c r="I18" s="39"/>
      <c r="J18" s="40"/>
    </row>
    <row r="19" spans="1:10" ht="23.25" customHeight="1" x14ac:dyDescent="0.3">
      <c r="A19" s="35"/>
      <c r="B19" s="24" t="s">
        <v>28</v>
      </c>
      <c r="C19" s="3">
        <v>11.41</v>
      </c>
      <c r="D19" s="17">
        <v>11.38</v>
      </c>
      <c r="E19" s="3"/>
      <c r="F19" s="17"/>
      <c r="G19" s="3"/>
      <c r="H19" s="17"/>
      <c r="I19" s="39"/>
      <c r="J19" s="40"/>
    </row>
    <row r="20" spans="1:10" ht="23.25" customHeight="1" x14ac:dyDescent="0.3">
      <c r="A20" s="35"/>
      <c r="B20" s="24" t="s">
        <v>29</v>
      </c>
      <c r="C20" s="3">
        <v>12.08</v>
      </c>
      <c r="D20" s="17">
        <v>11.98</v>
      </c>
      <c r="E20" s="3"/>
      <c r="F20" s="17"/>
      <c r="G20" s="3"/>
      <c r="H20" s="17"/>
      <c r="I20" s="39"/>
      <c r="J20" s="40"/>
    </row>
    <row r="21" spans="1:10" ht="23.25" customHeight="1" x14ac:dyDescent="0.3">
      <c r="A21" s="35"/>
      <c r="B21" s="24" t="s">
        <v>30</v>
      </c>
      <c r="C21" s="3">
        <v>12.33</v>
      </c>
      <c r="D21" s="17">
        <v>12.97</v>
      </c>
      <c r="E21" s="3"/>
      <c r="F21" s="17"/>
      <c r="G21" s="3"/>
      <c r="H21" s="17"/>
      <c r="I21" s="39"/>
      <c r="J21" s="40"/>
    </row>
    <row r="22" spans="1:10" ht="23.25" customHeight="1" x14ac:dyDescent="0.3">
      <c r="A22" s="36"/>
      <c r="B22" s="25" t="s">
        <v>31</v>
      </c>
      <c r="C22" s="21">
        <v>12.83</v>
      </c>
      <c r="D22" s="22">
        <v>13.29</v>
      </c>
      <c r="E22" s="21"/>
      <c r="F22" s="22"/>
      <c r="G22" s="21"/>
      <c r="H22" s="22"/>
      <c r="I22" s="43"/>
      <c r="J22" s="44"/>
    </row>
    <row r="23" spans="1:10" ht="23.25" customHeight="1" x14ac:dyDescent="0.3">
      <c r="A23" s="34" t="s">
        <v>32</v>
      </c>
      <c r="B23" s="23" t="s">
        <v>33</v>
      </c>
      <c r="C23" s="2">
        <v>4.04</v>
      </c>
      <c r="D23" s="16">
        <v>3.94</v>
      </c>
      <c r="E23" s="2"/>
      <c r="F23" s="16"/>
      <c r="G23" s="2"/>
      <c r="H23" s="16"/>
      <c r="I23" s="37"/>
      <c r="J23" s="38"/>
    </row>
    <row r="24" spans="1:10" ht="23.25" customHeight="1" x14ac:dyDescent="0.3">
      <c r="A24" s="35"/>
      <c r="B24" s="24" t="s">
        <v>34</v>
      </c>
      <c r="C24" s="3">
        <v>3.94</v>
      </c>
      <c r="D24" s="17">
        <v>4.04</v>
      </c>
      <c r="E24" s="3"/>
      <c r="F24" s="17"/>
      <c r="G24" s="3"/>
      <c r="H24" s="17"/>
      <c r="I24" s="39"/>
      <c r="J24" s="40"/>
    </row>
    <row r="25" spans="1:10" ht="23.25" customHeight="1" x14ac:dyDescent="0.3">
      <c r="A25" s="35"/>
      <c r="B25" s="24" t="s">
        <v>35</v>
      </c>
      <c r="C25" s="3">
        <v>4.05</v>
      </c>
      <c r="D25" s="17">
        <v>4.05</v>
      </c>
      <c r="E25" s="3"/>
      <c r="F25" s="17"/>
      <c r="G25" s="3"/>
      <c r="H25" s="17"/>
      <c r="I25" s="39"/>
      <c r="J25" s="40"/>
    </row>
    <row r="26" spans="1:10" ht="23.25" customHeight="1" x14ac:dyDescent="0.3">
      <c r="A26" s="35"/>
      <c r="B26" s="24" t="s">
        <v>36</v>
      </c>
      <c r="C26" s="3">
        <v>4</v>
      </c>
      <c r="D26" s="17">
        <v>4.05</v>
      </c>
      <c r="E26" s="3"/>
      <c r="F26" s="17"/>
      <c r="G26" s="3"/>
      <c r="H26" s="17"/>
      <c r="I26" s="39"/>
      <c r="J26" s="40"/>
    </row>
    <row r="27" spans="1:10" ht="23.25" customHeight="1" x14ac:dyDescent="0.3">
      <c r="A27" s="36"/>
      <c r="B27" s="26" t="s">
        <v>37</v>
      </c>
      <c r="C27" s="4">
        <v>1.27</v>
      </c>
      <c r="D27" s="18">
        <v>0.95</v>
      </c>
      <c r="E27" s="4"/>
      <c r="F27" s="18"/>
      <c r="G27" s="4"/>
      <c r="H27" s="18"/>
      <c r="I27" s="41"/>
      <c r="J27" s="42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47.33</v>
      </c>
      <c r="D32" s="1" t="s">
        <v>40</v>
      </c>
      <c r="J32" s="9"/>
    </row>
    <row r="33" spans="1:10" x14ac:dyDescent="0.3">
      <c r="A33" s="1" t="s">
        <v>42</v>
      </c>
      <c r="C33" s="1">
        <v>47.68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26.324200000000001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4" type="noConversion"/>
  <pageMargins left="0.69972223043441772" right="0.69972223043441772" top="0.75" bottom="0.75" header="0.30000001192092901" footer="0.30000001192092901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2025_01</vt:lpstr>
      <vt:lpstr>2025_02</vt:lpstr>
      <vt:lpstr>2025_03</vt:lpstr>
      <vt:lpstr>2025_04</vt:lpstr>
      <vt:lpstr>2025_05</vt:lpstr>
      <vt:lpstr>2025_06</vt:lpstr>
      <vt:lpstr>2025_07</vt:lpstr>
      <vt:lpstr>2025_08</vt:lpstr>
      <vt:lpstr>2025_09</vt:lpstr>
      <vt:lpstr>2025_10</vt:lpstr>
      <vt:lpstr>2025_11</vt:lpstr>
      <vt:lpstr>2025_12</vt:lpstr>
      <vt:lpstr>2026_01</vt:lpstr>
      <vt:lpstr>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노종현</dc:creator>
  <cp:lastModifiedBy>종현 노</cp:lastModifiedBy>
  <cp:revision>19</cp:revision>
  <cp:lastPrinted>2021-07-23T04:34:48Z</cp:lastPrinted>
  <dcterms:created xsi:type="dcterms:W3CDTF">2021-02-23T06:32:08Z</dcterms:created>
  <dcterms:modified xsi:type="dcterms:W3CDTF">2026-04-17T04:49:00Z</dcterms:modified>
  <cp:version>1200.0100.01</cp:version>
</cp:coreProperties>
</file>